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UDGET" sheetId="2" state="visible" r:id="rId2"/>
    <sheet xmlns:r="http://schemas.openxmlformats.org/officeDocument/2006/relationships" name="PQ" sheetId="3" state="visible" r:id="rId3"/>
    <sheet xmlns:r="http://schemas.openxmlformats.org/officeDocument/2006/relationships" name="10 YMP"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15">
    <font>
      <name val="Calibri"/>
      <family val="2"/>
      <color theme="1"/>
      <sz val="11"/>
      <scheme val="minor"/>
    </font>
    <font>
      <name val="Arial"/>
      <b val="1"/>
      <color rgb="001F4E79"/>
      <sz val="14"/>
    </font>
    <font>
      <name val="Arial"/>
      <color rgb="000000FF"/>
      <sz val="10"/>
    </font>
    <font>
      <name val="Arial"/>
      <i val="1"/>
      <color rgb="00666666"/>
      <sz val="9"/>
    </font>
    <font>
      <name val="Arial"/>
      <b val="1"/>
      <sz val="10"/>
    </font>
    <font>
      <name val="Arial"/>
      <color rgb="00666666"/>
      <sz val="9"/>
    </font>
    <font>
      <name val="Arial"/>
      <b val="1"/>
      <color rgb="00FFFFFF"/>
      <sz val="10"/>
    </font>
    <font>
      <name val="Arial"/>
      <b val="1"/>
      <color rgb="00FFFFFF"/>
      <sz val="11"/>
    </font>
    <font>
      <name val="Arial"/>
      <color rgb="00000000"/>
      <sz val="10"/>
    </font>
    <font>
      <name val="Arial"/>
      <b val="1"/>
      <color rgb="009C0006"/>
      <sz val="10"/>
    </font>
    <font>
      <name val="Arial"/>
      <color rgb="009C0006"/>
      <sz val="9"/>
    </font>
    <font>
      <name val="Arial"/>
      <b val="1"/>
      <color rgb="009C0006"/>
      <sz val="11"/>
    </font>
    <font>
      <name val="Arial"/>
      <b val="1"/>
      <sz val="11"/>
    </font>
    <font>
      <name val="Arial"/>
      <color rgb="00666666"/>
      <sz val="8"/>
    </font>
    <font>
      <name val="Arial"/>
      <color rgb="001F4E79"/>
      <sz val="9"/>
    </font>
  </fonts>
  <fills count="10">
    <fill>
      <patternFill/>
    </fill>
    <fill>
      <patternFill patternType="gray125"/>
    </fill>
    <fill>
      <patternFill patternType="solid">
        <fgColor rgb="00FFFF99"/>
      </patternFill>
    </fill>
    <fill>
      <patternFill patternType="solid">
        <fgColor rgb="00DDEBF7"/>
      </patternFill>
    </fill>
    <fill>
      <patternFill patternType="solid">
        <fgColor rgb="002E75B6"/>
      </patternFill>
    </fill>
    <fill>
      <patternFill patternType="solid">
        <fgColor rgb="001F4E79"/>
      </patternFill>
    </fill>
    <fill>
      <patternFill patternType="solid">
        <fgColor rgb="00FFF2CC"/>
      </patternFill>
    </fill>
    <fill>
      <patternFill patternType="solid">
        <fgColor rgb="00D9E2F3"/>
      </patternFill>
    </fill>
    <fill>
      <patternFill patternType="solid">
        <fgColor rgb="00FFC7CE"/>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3">
    <xf numFmtId="0" fontId="0" fillId="0" borderId="0" pivotButton="0" quotePrefix="0" xfId="0"/>
    <xf numFmtId="0" fontId="1" fillId="0" borderId="0" pivotButton="0" quotePrefix="0" xfId="0"/>
    <xf numFmtId="49" fontId="2" fillId="2" borderId="1" pivotButton="0" quotePrefix="0" xfId="0"/>
    <xf numFmtId="0" fontId="3" fillId="0" borderId="0" pivotButton="0" quotePrefix="0" xfId="0"/>
    <xf numFmtId="0" fontId="4" fillId="3" borderId="0" pivotButton="0" quotePrefix="0" xfId="0"/>
    <xf numFmtId="164" fontId="2" fillId="2" borderId="1" pivotButton="0" quotePrefix="0" xfId="0"/>
    <xf numFmtId="0" fontId="5" fillId="0" borderId="0" pivotButton="0" quotePrefix="0" xfId="0"/>
    <xf numFmtId="4" fontId="2" fillId="2" borderId="1" pivotButton="0" quotePrefix="0" xfId="0"/>
    <xf numFmtId="0" fontId="6" fillId="4" borderId="1" pivotButton="0" quotePrefix="0" xfId="0"/>
    <xf numFmtId="0" fontId="7" fillId="5" borderId="1" applyAlignment="1" pivotButton="0" quotePrefix="0" xfId="0">
      <alignment horizontal="center" wrapText="1"/>
    </xf>
    <xf numFmtId="0" fontId="4" fillId="6" borderId="0" pivotButton="0" quotePrefix="0" xfId="0"/>
    <xf numFmtId="4" fontId="8" fillId="8" borderId="1" pivotButton="0" quotePrefix="0" xfId="0"/>
    <xf numFmtId="4" fontId="8" fillId="0" borderId="1" pivotButton="0" quotePrefix="0" xfId="0"/>
    <xf numFmtId="0" fontId="4" fillId="7" borderId="0" pivotButton="0" quotePrefix="0" xfId="0"/>
    <xf numFmtId="4" fontId="8" fillId="7" borderId="1" pivotButton="0" quotePrefix="0" xfId="0"/>
    <xf numFmtId="0" fontId="9" fillId="8" borderId="0" pivotButton="0" quotePrefix="0" xfId="0"/>
    <xf numFmtId="0" fontId="10" fillId="0" borderId="0" pivotButton="0" quotePrefix="0" xfId="0"/>
    <xf numFmtId="0" fontId="4" fillId="0" borderId="0" pivotButton="0" quotePrefix="0" xfId="0"/>
    <xf numFmtId="4" fontId="8" fillId="9" borderId="1" pivotButton="0" quotePrefix="0" xfId="0"/>
    <xf numFmtId="0" fontId="11" fillId="0" borderId="0" pivotButton="0" quotePrefix="0" xfId="0"/>
    <xf numFmtId="4" fontId="12" fillId="8" borderId="1" pivotButton="0" quotePrefix="0" xfId="0"/>
    <xf numFmtId="0" fontId="6" fillId="5" borderId="1" applyAlignment="1" pivotButton="0" quotePrefix="0" xfId="0">
      <alignment horizontal="center" wrapText="1"/>
    </xf>
    <xf numFmtId="0" fontId="0" fillId="0" borderId="1" pivotButton="0" quotePrefix="0" xfId="0"/>
    <xf numFmtId="165" fontId="2" fillId="2" borderId="1" pivotButton="0" quotePrefix="0" xfId="0"/>
    <xf numFmtId="165" fontId="8" fillId="7" borderId="1" pivotButton="0" quotePrefix="0" xfId="0"/>
    <xf numFmtId="165" fontId="8" fillId="0" borderId="1" pivotButton="0" quotePrefix="0" xfId="0"/>
    <xf numFmtId="0" fontId="8" fillId="0" borderId="0" pivotButton="0" quotePrefix="0" xfId="0"/>
    <xf numFmtId="49" fontId="8" fillId="0" borderId="1" pivotButton="0" quotePrefix="0" xfId="0"/>
    <xf numFmtId="0" fontId="6" fillId="5" borderId="1" pivotButton="0" quotePrefix="0" xfId="0"/>
    <xf numFmtId="0" fontId="6" fillId="5" borderId="1" applyAlignment="1" pivotButton="0" quotePrefix="0" xfId="0">
      <alignment horizontal="center"/>
    </xf>
    <xf numFmtId="0" fontId="13" fillId="0" borderId="0" pivotButton="0" quotePrefix="0" xfId="0"/>
    <xf numFmtId="0" fontId="2" fillId="2" borderId="1" pivotButton="0" quotePrefix="0" xfId="0"/>
    <xf numFmtId="0" fontId="1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BODY CORPORATE / HOA BUDGET TEMPLATE – USER GUIDE</t>
        </is>
      </c>
    </row>
    <row r="3">
      <c r="A3" t="inlineStr"/>
    </row>
    <row r="4">
      <c r="A4" s="17" t="inlineStr">
        <is>
          <t>PURPOSE</t>
        </is>
      </c>
    </row>
    <row r="5">
      <c r="A5" t="inlineStr">
        <is>
          <t>This template standardises budgeting for all complexes while remaining flexible and easy to understand. It handles different expense lines, personnel, insurance recoveries, under-recovery on levies, and produces the levy schedule (PQ) and 10-year maintenance plan.</t>
        </is>
      </c>
    </row>
    <row r="6">
      <c r="A6" t="inlineStr"/>
    </row>
    <row r="7">
      <c r="A7" s="17" t="inlineStr">
        <is>
          <t>COLOUR CODING</t>
        </is>
      </c>
    </row>
    <row r="8">
      <c r="A8" t="inlineStr">
        <is>
          <t>YELLOW cells with BLUE text = INPUTS. These are the only cells you should normally edit.</t>
        </is>
      </c>
    </row>
    <row r="9">
      <c r="A9" t="inlineStr">
        <is>
          <t>BLACK text = FORMULAS. Do not type over them.</t>
        </is>
      </c>
    </row>
    <row r="10">
      <c r="A10" t="inlineStr">
        <is>
          <t>Light RED row = Insurance Recoveries (important deduction) and Gross Ordinary Levies.</t>
        </is>
      </c>
    </row>
    <row r="11">
      <c r="A11" t="inlineStr">
        <is>
          <t>Light GREEN totals = Calculated key results.</t>
        </is>
      </c>
    </row>
    <row r="12">
      <c r="A12" t="inlineStr"/>
    </row>
    <row r="13">
      <c r="A13" s="17" t="inlineStr">
        <is>
          <t>STEP-BY-STEP WORKFLOW</t>
        </is>
      </c>
    </row>
    <row r="14">
      <c r="A14" t="inlineStr">
        <is>
          <t>1. On the BUDGET sheet: Enter the Complex Name and Financial Year in the yellow cells at the top.</t>
        </is>
      </c>
    </row>
    <row r="15">
      <c r="A15" t="inlineStr">
        <is>
          <t>2. Set the Expected Levy Collection Rate (e.g. 95 = 5% under-recovery). This is critical – the system will automatically increase the Gross Ordinary Levies so that after non-payment you still collect enough cash.</t>
        </is>
      </c>
    </row>
    <row r="16">
      <c r="A16" t="inlineStr">
        <is>
          <t>3. Enter the Opening Reserve Fund Balance.</t>
        </is>
      </c>
    </row>
    <row r="17">
      <c r="A17" t="inlineStr">
        <is>
          <t>4. Go through every section (Income, Municipal, Expenditure, R&amp;M, Personnel, Tax, Special Projects) and enter the Actual figures from the financial statement PDF into the yellow “Actual” column.</t>
        </is>
      </c>
    </row>
    <row r="18">
      <c r="A18" t="inlineStr">
        <is>
          <t>5. Adjust the “% Increase” on each individual line (yellow). You can leave most at 10% and only change the ones that need a different rate.</t>
        </is>
      </c>
    </row>
    <row r="19">
      <c r="A19" t="inlineStr">
        <is>
          <t>6. IMPORTANT – Insurance Claims: If insurance payouts were allocated to Repair &amp; Maintenance in the actuals, enter the TOTAL of those recoveries in the red “Less: Insurance Claims Recoveries” line. It will be deducted automatically so you do not over-budget.</t>
        </is>
      </c>
    </row>
    <row r="20">
      <c r="A20" t="inlineStr">
        <is>
          <t>7. Personnel section: Add or delete rows as needed. Copy the formulas from an adjacent row when you insert.</t>
        </is>
      </c>
    </row>
    <row r="21">
      <c r="A21" t="inlineStr">
        <is>
          <t>8. Special Projects: Enter the Year 1 amounts from the 10 YMP sheet (or type them directly).</t>
        </is>
      </c>
    </row>
    <row r="22">
      <c r="A22" t="inlineStr">
        <is>
          <t>9. The template automatically calculates the Gross Ordinary Levies required (red highlighted row). This already includes the under-recovery adjustment.</t>
        </is>
      </c>
    </row>
    <row r="23">
      <c r="A23" t="inlineStr">
        <is>
          <t>10. Go to the PQ sheet. Replace the example units with the real units and their Participation Quotas. The monthly levy, reserve and CSOS amounts are linked automatically from the BUDGET sheet.</t>
        </is>
      </c>
    </row>
    <row r="24">
      <c r="A24" t="inlineStr">
        <is>
          <t>11. Update the 10 YMP sheet with the planned projects for the next 10 years. The Year 1 total should feed into Special Projects on the BUDGET sheet.</t>
        </is>
      </c>
    </row>
    <row r="25">
      <c r="A25" t="inlineStr">
        <is>
          <t>12. Review the Summary section. Check that totals look sensible. Save a copy named with the complex and year.</t>
        </is>
      </c>
    </row>
    <row r="26">
      <c r="A26" t="inlineStr"/>
    </row>
    <row r="27">
      <c r="A27" s="17" t="inlineStr">
        <is>
          <t>UNDER-RECOVERY ON LEVIES</t>
        </is>
      </c>
    </row>
    <row r="28">
      <c r="A28" t="inlineStr">
        <is>
          <t>Many complexes do not collect 100% of levies. By setting the Collection Rate to e.g. 95%, the template increases the Gross Ordinary Levy so that the expected cash still covers all budgeted expenses + reserve contribution. This is the correct and professional way to budget for under-recovery.</t>
        </is>
      </c>
    </row>
    <row r="29">
      <c r="A29" t="inlineStr"/>
    </row>
    <row r="30">
      <c r="A30" s="17" t="inlineStr">
        <is>
          <t>SUPPORT</t>
        </is>
      </c>
    </row>
    <row r="31">
      <c r="A31" t="inlineStr">
        <is>
          <t>If formulas break after heavy editing, check that the SUM ranges on the TOTAL rows still cover all the data rows in that section. Keep a clean master copy of this template and always “Save As” for each complex.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136"/>
  <sheetViews>
    <sheetView workbookViewId="0">
      <pane xSplit="1" ySplit="11" topLeftCell="B12"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2" customWidth="1" min="2" max="2"/>
    <col width="12" customWidth="1" min="3" max="3"/>
    <col width="14" customWidth="1" min="4" max="4"/>
    <col width="10" customWidth="1" min="5" max="5"/>
    <col width="15" customWidth="1" min="6" max="6"/>
    <col width="13" customWidth="1" min="7" max="7"/>
    <col width="45" customWidth="1" min="8" max="8"/>
  </cols>
  <sheetData>
    <row r="2">
      <c r="B2" s="1" t="inlineStr">
        <is>
          <t>BODY CORPORATE / HOA BUDGET</t>
        </is>
      </c>
    </row>
    <row r="3">
      <c r="B3" t="inlineStr">
        <is>
          <t>Complex Name:</t>
        </is>
      </c>
      <c r="C3" s="2" t="inlineStr">
        <is>
          <t>EXAMPLE BODY CORPORATE</t>
        </is>
      </c>
      <c r="E3" t="inlineStr">
        <is>
          <t>Financial Year:</t>
        </is>
      </c>
      <c r="F3" s="2" t="inlineStr">
        <is>
          <t>01-03-2026 / 28-02-2027</t>
        </is>
      </c>
    </row>
    <row r="4">
      <c r="B4" s="3" t="inlineStr">
        <is>
          <t>Yellow cells with blue text = inputs you can change. Black text = formulas (do not overwrite).</t>
        </is>
      </c>
    </row>
    <row r="6">
      <c r="B6" s="4" t="inlineStr">
        <is>
          <t>KEY ASSUMPTIONS</t>
        </is>
      </c>
    </row>
    <row r="7">
      <c r="B7" t="inlineStr">
        <is>
          <t>Expected Levy Collection Rate %</t>
        </is>
      </c>
      <c r="D7" s="5" t="n">
        <v>95</v>
      </c>
      <c r="E7" t="inlineStr">
        <is>
          <t>%</t>
        </is>
      </c>
      <c r="F7" s="6" t="inlineStr">
        <is>
          <t>← 95 means budget for 5% under-recovery</t>
        </is>
      </c>
    </row>
    <row r="8">
      <c r="B8" t="inlineStr">
        <is>
          <t>Opening Reserve Fund Balance</t>
        </is>
      </c>
      <c r="D8" s="7" t="n">
        <v>0</v>
      </c>
    </row>
    <row r="9">
      <c r="B9" t="inlineStr">
        <is>
          <t>Default % Increase (reference only)</t>
        </is>
      </c>
      <c r="D9" s="5" t="n">
        <v>10</v>
      </c>
      <c r="E9" t="inlineStr">
        <is>
          <t>%</t>
        </is>
      </c>
    </row>
    <row r="11">
      <c r="B11" s="8" t="inlineStr">
        <is>
          <t>INCOME</t>
        </is>
      </c>
      <c r="C11" s="8" t="n"/>
      <c r="D11" s="8" t="n"/>
      <c r="E11" s="8" t="n"/>
      <c r="F11" s="8" t="n"/>
      <c r="G11" s="8" t="n"/>
      <c r="H11" s="8" t="n"/>
    </row>
    <row r="12">
      <c r="B12" s="9" t="inlineStr">
        <is>
          <t>Description</t>
        </is>
      </c>
      <c r="C12" s="9" t="inlineStr">
        <is>
          <t>GL Code</t>
        </is>
      </c>
      <c r="D12" s="9" t="inlineStr">
        <is>
          <t>Actual</t>
        </is>
      </c>
      <c r="E12" s="9" t="inlineStr">
        <is>
          <t>% Increase</t>
        </is>
      </c>
      <c r="F12" s="9" t="inlineStr">
        <is>
          <t>Budgeted Yearly</t>
        </is>
      </c>
      <c r="G12" s="9" t="inlineStr">
        <is>
          <t>Monthly</t>
        </is>
      </c>
      <c r="H12" s="9" t="inlineStr">
        <is>
          <t>Comments / Notes</t>
        </is>
      </c>
    </row>
    <row r="13">
      <c r="B13" s="10" t="inlineStr">
        <is>
          <t>LEVY INCOME</t>
        </is>
      </c>
    </row>
    <row r="14">
      <c r="B14" t="inlineStr">
        <is>
          <t>Ordinary Levies (Gross required)</t>
        </is>
      </c>
      <c r="C14" t="inlineStr">
        <is>
          <t>1000/001</t>
        </is>
      </c>
      <c r="D14" s="7" t="n">
        <v>0</v>
      </c>
      <c r="E14" s="5" t="n">
        <v>0</v>
      </c>
      <c r="F14" s="11">
        <f>F122</f>
        <v/>
      </c>
      <c r="G14" s="12">
        <f>F14/12</f>
        <v/>
      </c>
      <c r="H14" t="inlineStr">
        <is>
          <t>Calculated so that after under-recovery you still cover all costs + reserve</t>
        </is>
      </c>
    </row>
    <row r="15">
      <c r="B15" t="inlineStr">
        <is>
          <t>Reserve Fund Contribution</t>
        </is>
      </c>
      <c r="C15" t="inlineStr">
        <is>
          <t>RFI</t>
        </is>
      </c>
      <c r="D15" s="7" t="n">
        <v>0</v>
      </c>
      <c r="E15" s="5" t="n">
        <v>0</v>
      </c>
      <c r="F15" s="7" t="n">
        <v>0</v>
      </c>
      <c r="G15" s="12">
        <f>F15/12</f>
        <v/>
      </c>
      <c r="H15" t="inlineStr">
        <is>
          <t>Set by trustees / 10YMP requirements</t>
        </is>
      </c>
    </row>
    <row r="16">
      <c r="B16" t="inlineStr">
        <is>
          <t>CSOS Levy (Income)</t>
        </is>
      </c>
      <c r="C16" t="inlineStr">
        <is>
          <t>1000/017</t>
        </is>
      </c>
      <c r="D16" s="7" t="n">
        <v>0</v>
      </c>
      <c r="E16" s="5" t="n">
        <v>0</v>
      </c>
      <c r="F16" s="7" t="n">
        <v>0</v>
      </c>
      <c r="G16" s="12">
        <f>F16/12</f>
        <v/>
      </c>
      <c r="H16" t="inlineStr">
        <is>
          <t>Often ~2% of (monthly levy - R7000) capped – confirm method</t>
        </is>
      </c>
    </row>
    <row r="18">
      <c r="B18" s="10" t="inlineStr">
        <is>
          <t>OTHER INCOME</t>
        </is>
      </c>
    </row>
    <row r="19">
      <c r="B19" t="inlineStr">
        <is>
          <t>Interest on Arrears</t>
        </is>
      </c>
      <c r="C19" t="inlineStr">
        <is>
          <t>1000/004</t>
        </is>
      </c>
      <c r="D19" s="7" t="n">
        <v>0</v>
      </c>
      <c r="E19" s="5" t="n">
        <v>0</v>
      </c>
      <c r="F19" s="12">
        <f>D19*(1+E19/100)</f>
        <v/>
      </c>
      <c r="G19" s="12">
        <f>F19/12</f>
        <v/>
      </c>
      <c r="H19" s="2" t="inlineStr"/>
    </row>
    <row r="20">
      <c r="B20" t="inlineStr">
        <is>
          <t>Investment Income – Bank/Investments</t>
        </is>
      </c>
      <c r="C20" t="inlineStr">
        <is>
          <t>1000/003</t>
        </is>
      </c>
      <c r="D20" s="7" t="n">
        <v>0</v>
      </c>
      <c r="E20" s="5" t="n">
        <v>0</v>
      </c>
      <c r="F20" s="12">
        <f>D20*(1+E20/100)</f>
        <v/>
      </c>
      <c r="G20" s="12">
        <f>F20/12</f>
        <v/>
      </c>
      <c r="H20" s="2" t="inlineStr"/>
    </row>
    <row r="21">
      <c r="B21" t="inlineStr">
        <is>
          <t>Penalty Levy</t>
        </is>
      </c>
      <c r="D21" s="7" t="n">
        <v>0</v>
      </c>
      <c r="E21" s="5" t="n">
        <v>0</v>
      </c>
      <c r="F21" s="12">
        <f>D21*(1+E21/100)</f>
        <v/>
      </c>
      <c r="G21" s="12">
        <f>F21/12</f>
        <v/>
      </c>
      <c r="H21" s="2" t="inlineStr"/>
    </row>
    <row r="22">
      <c r="B22" t="inlineStr">
        <is>
          <t>Other Income 1</t>
        </is>
      </c>
      <c r="D22" s="7" t="n">
        <v>0</v>
      </c>
      <c r="E22" s="5" t="n">
        <v>0</v>
      </c>
      <c r="F22" s="12">
        <f>D22*(1+E22/100)</f>
        <v/>
      </c>
      <c r="G22" s="12">
        <f>F22/12</f>
        <v/>
      </c>
      <c r="H22" s="2" t="inlineStr"/>
    </row>
    <row r="23">
      <c r="B23" t="inlineStr">
        <is>
          <t>Other Income 2</t>
        </is>
      </c>
      <c r="D23" s="7" t="n">
        <v>0</v>
      </c>
      <c r="E23" s="5" t="n">
        <v>0</v>
      </c>
      <c r="F23" s="12">
        <f>D23*(1+E23/100)</f>
        <v/>
      </c>
      <c r="G23" s="12">
        <f>F23/12</f>
        <v/>
      </c>
      <c r="H23" s="2" t="inlineStr"/>
    </row>
    <row r="25">
      <c r="B25" s="10" t="inlineStr">
        <is>
          <t>MUNICIPAL RECOVERY INCOME</t>
        </is>
      </c>
    </row>
    <row r="26">
      <c r="B26" t="inlineStr">
        <is>
          <t>Electricity Recovered</t>
        </is>
      </c>
      <c r="C26" t="inlineStr">
        <is>
          <t>1000/013</t>
        </is>
      </c>
      <c r="D26" s="7" t="n">
        <v>0</v>
      </c>
      <c r="E26" s="5" t="n">
        <v>0</v>
      </c>
      <c r="F26" s="12">
        <f>D26*(1+E26/100)</f>
        <v/>
      </c>
      <c r="G26" s="12">
        <f>F26/12</f>
        <v/>
      </c>
      <c r="H26" s="2" t="inlineStr"/>
    </row>
    <row r="27">
      <c r="B27" t="inlineStr">
        <is>
          <t>Water Recovered</t>
        </is>
      </c>
      <c r="C27" t="inlineStr">
        <is>
          <t>1000/011</t>
        </is>
      </c>
      <c r="D27" s="7" t="n">
        <v>0</v>
      </c>
      <c r="E27" s="5" t="n">
        <v>0</v>
      </c>
      <c r="F27" s="12">
        <f>D27*(1+E27/100)</f>
        <v/>
      </c>
      <c r="G27" s="12">
        <f>F27/12</f>
        <v/>
      </c>
      <c r="H27" s="2" t="inlineStr"/>
    </row>
    <row r="28">
      <c r="B28" t="inlineStr">
        <is>
          <t>Sewerage Recovered</t>
        </is>
      </c>
      <c r="C28" t="inlineStr">
        <is>
          <t>1000/012</t>
        </is>
      </c>
      <c r="D28" s="7" t="n">
        <v>0</v>
      </c>
      <c r="E28" s="5" t="n">
        <v>0</v>
      </c>
      <c r="F28" s="12">
        <f>D28*(1+E28/100)</f>
        <v/>
      </c>
      <c r="G28" s="12">
        <f>F28/12</f>
        <v/>
      </c>
      <c r="H28" s="2" t="inlineStr"/>
    </row>
    <row r="29">
      <c r="B29" t="inlineStr">
        <is>
          <t>Refuse Recovered</t>
        </is>
      </c>
      <c r="C29" t="inlineStr">
        <is>
          <t>1000/014</t>
        </is>
      </c>
      <c r="D29" s="7" t="n">
        <v>0</v>
      </c>
      <c r="E29" s="5" t="n">
        <v>0</v>
      </c>
      <c r="F29" s="12">
        <f>D29*(1+E29/100)</f>
        <v/>
      </c>
      <c r="G29" s="12">
        <f>F29/12</f>
        <v/>
      </c>
      <c r="H29" s="2" t="inlineStr"/>
    </row>
    <row r="30">
      <c r="B30" t="inlineStr">
        <is>
          <t>Other Recoveries</t>
        </is>
      </c>
      <c r="D30" s="7" t="n">
        <v>0</v>
      </c>
      <c r="E30" s="5" t="n">
        <v>0</v>
      </c>
      <c r="F30" s="12">
        <f>D30*(1+E30/100)</f>
        <v/>
      </c>
      <c r="G30" s="12">
        <f>F30/12</f>
        <v/>
      </c>
      <c r="H30" s="2" t="inlineStr"/>
    </row>
    <row r="32">
      <c r="B32" s="13" t="inlineStr">
        <is>
          <t>TOTAL INCOME (Expected Cash)</t>
        </is>
      </c>
      <c r="F32" s="14">
        <f>F14+F15+F16+SUM(F19:F23)+SUM(F26:F30)</f>
        <v/>
      </c>
      <c r="G32" s="14">
        <f>F32/12</f>
        <v/>
      </c>
    </row>
    <row r="34">
      <c r="B34" s="8" t="inlineStr">
        <is>
          <t>MUNICIPAL EXPENSES (GROSS)</t>
        </is>
      </c>
      <c r="C34" s="8" t="n"/>
      <c r="D34" s="8" t="n"/>
      <c r="E34" s="8" t="n"/>
      <c r="F34" s="8" t="n"/>
      <c r="G34" s="8" t="n"/>
      <c r="H34" s="8" t="n"/>
    </row>
    <row r="35">
      <c r="B35" s="9" t="inlineStr">
        <is>
          <t>Description</t>
        </is>
      </c>
      <c r="C35" s="9" t="inlineStr">
        <is>
          <t>GL Code</t>
        </is>
      </c>
      <c r="D35" s="9" t="inlineStr">
        <is>
          <t>Actual</t>
        </is>
      </c>
      <c r="E35" s="9" t="inlineStr">
        <is>
          <t>% Increase</t>
        </is>
      </c>
      <c r="F35" s="9" t="inlineStr">
        <is>
          <t>Budgeted Yearly</t>
        </is>
      </c>
      <c r="G35" s="9" t="inlineStr">
        <is>
          <t>Monthly</t>
        </is>
      </c>
      <c r="H35" s="9" t="inlineStr">
        <is>
          <t>Comments / Notes</t>
        </is>
      </c>
    </row>
    <row r="36">
      <c r="B36" t="inlineStr">
        <is>
          <t>Water</t>
        </is>
      </c>
      <c r="C36" t="inlineStr">
        <is>
          <t>2100/001</t>
        </is>
      </c>
      <c r="D36" s="7" t="n">
        <v>0</v>
      </c>
      <c r="E36" s="5" t="n">
        <v>10</v>
      </c>
      <c r="F36" s="12">
        <f>D36*(1+E36/100)</f>
        <v/>
      </c>
      <c r="G36" s="12">
        <f>F36/12</f>
        <v/>
      </c>
      <c r="H36" s="2" t="inlineStr"/>
    </row>
    <row r="37">
      <c r="B37" t="inlineStr">
        <is>
          <t>Sewerage</t>
        </is>
      </c>
      <c r="C37" t="inlineStr">
        <is>
          <t>2100/003</t>
        </is>
      </c>
      <c r="D37" s="7" t="n">
        <v>0</v>
      </c>
      <c r="E37" s="5" t="n">
        <v>5</v>
      </c>
      <c r="F37" s="12">
        <f>D37*(1+E37/100)</f>
        <v/>
      </c>
      <c r="G37" s="12">
        <f>F37/12</f>
        <v/>
      </c>
      <c r="H37" s="2" t="inlineStr"/>
    </row>
    <row r="38">
      <c r="B38" t="inlineStr">
        <is>
          <t>Electricity (Common / Gross)</t>
        </is>
      </c>
      <c r="C38" t="inlineStr">
        <is>
          <t>2100/004</t>
        </is>
      </c>
      <c r="D38" s="7" t="n">
        <v>0</v>
      </c>
      <c r="E38" s="5" t="n">
        <v>10</v>
      </c>
      <c r="F38" s="12">
        <f>D38*(1+E38/100)</f>
        <v/>
      </c>
      <c r="G38" s="12">
        <f>F38/12</f>
        <v/>
      </c>
      <c r="H38" s="2" t="inlineStr"/>
    </row>
    <row r="39">
      <c r="B39" t="inlineStr">
        <is>
          <t>Refuse</t>
        </is>
      </c>
      <c r="C39" t="inlineStr">
        <is>
          <t>2100/002</t>
        </is>
      </c>
      <c r="D39" s="7" t="n">
        <v>0</v>
      </c>
      <c r="E39" s="5" t="n">
        <v>10</v>
      </c>
      <c r="F39" s="12">
        <f>D39*(1+E39/100)</f>
        <v/>
      </c>
      <c r="G39" s="12">
        <f>F39/12</f>
        <v/>
      </c>
      <c r="H39" s="2" t="inlineStr"/>
    </row>
    <row r="40">
      <c r="B40" t="inlineStr">
        <is>
          <t>Rates / Property Tax</t>
        </is>
      </c>
      <c r="C40" t="inlineStr">
        <is>
          <t>2100/005</t>
        </is>
      </c>
      <c r="D40" s="7" t="n">
        <v>0</v>
      </c>
      <c r="E40" s="5" t="n">
        <v>5</v>
      </c>
      <c r="F40" s="12">
        <f>D40*(1+E40/100)</f>
        <v/>
      </c>
      <c r="G40" s="12">
        <f>F40/12</f>
        <v/>
      </c>
      <c r="H40" s="2" t="inlineStr"/>
    </row>
    <row r="41">
      <c r="B41" t="inlineStr">
        <is>
          <t>Other Municipal</t>
        </is>
      </c>
      <c r="D41" s="7" t="n">
        <v>0</v>
      </c>
      <c r="E41" s="5" t="n">
        <v>10</v>
      </c>
      <c r="F41" s="12">
        <f>D41*(1+E41/100)</f>
        <v/>
      </c>
      <c r="G41" s="12">
        <f>F41/12</f>
        <v/>
      </c>
      <c r="H41" s="2" t="inlineStr"/>
    </row>
    <row r="42">
      <c r="B42" s="13" t="inlineStr">
        <is>
          <t>TOTAL MUNICIPAL EXPENSES</t>
        </is>
      </c>
      <c r="F42" s="14">
        <f>SUM(F36:F41)</f>
        <v/>
      </c>
      <c r="G42" s="14">
        <f>F42/12</f>
        <v/>
      </c>
    </row>
    <row r="44">
      <c r="B44" s="8" t="inlineStr">
        <is>
          <t>EXPENDITURE (Operating – excluding R&amp;M and Personnel)</t>
        </is>
      </c>
      <c r="C44" s="8" t="n"/>
      <c r="D44" s="8" t="n"/>
      <c r="E44" s="8" t="n"/>
      <c r="F44" s="8" t="n"/>
      <c r="G44" s="8" t="n"/>
      <c r="H44" s="8" t="n"/>
    </row>
    <row r="45">
      <c r="B45" s="9" t="inlineStr">
        <is>
          <t>Description</t>
        </is>
      </c>
      <c r="C45" s="9" t="inlineStr">
        <is>
          <t>GL Code</t>
        </is>
      </c>
      <c r="D45" s="9" t="inlineStr">
        <is>
          <t>Actual</t>
        </is>
      </c>
      <c r="E45" s="9" t="inlineStr">
        <is>
          <t>% Increase</t>
        </is>
      </c>
      <c r="F45" s="9" t="inlineStr">
        <is>
          <t>Budgeted Yearly</t>
        </is>
      </c>
      <c r="G45" s="9" t="inlineStr">
        <is>
          <t>Monthly</t>
        </is>
      </c>
      <c r="H45" s="9" t="inlineStr">
        <is>
          <t>Comments / Notes</t>
        </is>
      </c>
    </row>
    <row r="46">
      <c r="B46" t="inlineStr">
        <is>
          <t>Accounting Fees</t>
        </is>
      </c>
      <c r="C46" t="inlineStr">
        <is>
          <t>3000/001</t>
        </is>
      </c>
      <c r="D46" s="7" t="n">
        <v>0</v>
      </c>
      <c r="E46" s="5" t="n">
        <v>10</v>
      </c>
      <c r="F46" s="12">
        <f>D46*(1+E46/100)</f>
        <v/>
      </c>
      <c r="G46" s="12">
        <f>F46/12</f>
        <v/>
      </c>
      <c r="H46" s="2" t="inlineStr"/>
    </row>
    <row r="47">
      <c r="B47" t="inlineStr">
        <is>
          <t>Audit Fees</t>
        </is>
      </c>
      <c r="C47" t="inlineStr">
        <is>
          <t>2000/011</t>
        </is>
      </c>
      <c r="D47" s="7" t="n">
        <v>0</v>
      </c>
      <c r="E47" s="5" t="n">
        <v>10</v>
      </c>
      <c r="F47" s="12">
        <f>D47*(1+E47/100)</f>
        <v/>
      </c>
      <c r="G47" s="12">
        <f>F47/12</f>
        <v/>
      </c>
      <c r="H47" s="2" t="inlineStr"/>
    </row>
    <row r="48">
      <c r="B48" t="inlineStr">
        <is>
          <t>Bank Charges</t>
        </is>
      </c>
      <c r="C48" t="inlineStr">
        <is>
          <t>2000/001</t>
        </is>
      </c>
      <c r="D48" s="7" t="n">
        <v>0</v>
      </c>
      <c r="E48" s="5" t="n">
        <v>10</v>
      </c>
      <c r="F48" s="12">
        <f>D48*(1+E48/100)</f>
        <v/>
      </c>
      <c r="G48" s="12">
        <f>F48/12</f>
        <v/>
      </c>
      <c r="H48" s="2" t="inlineStr"/>
    </row>
    <row r="49">
      <c r="B49" t="inlineStr">
        <is>
          <t>Insurance</t>
        </is>
      </c>
      <c r="C49" t="inlineStr">
        <is>
          <t>2000/016</t>
        </is>
      </c>
      <c r="D49" s="7" t="n">
        <v>0</v>
      </c>
      <c r="E49" s="5" t="n">
        <v>10</v>
      </c>
      <c r="F49" s="12">
        <f>D49*(1+E49/100)</f>
        <v/>
      </c>
      <c r="G49" s="12">
        <f>F49/12</f>
        <v/>
      </c>
      <c r="H49" s="2" t="inlineStr"/>
    </row>
    <row r="50">
      <c r="B50" t="inlineStr">
        <is>
          <t>CSOS Levies (Expense)</t>
        </is>
      </c>
      <c r="C50" t="inlineStr">
        <is>
          <t>2000/002</t>
        </is>
      </c>
      <c r="D50" s="7" t="n">
        <v>0</v>
      </c>
      <c r="E50" s="5" t="n">
        <v>0</v>
      </c>
      <c r="F50" s="12">
        <f>D50*(1+E50/100)</f>
        <v/>
      </c>
      <c r="G50" s="12">
        <f>F50/12</f>
        <v/>
      </c>
      <c r="H50" s="2" t="inlineStr"/>
    </row>
    <row r="51">
      <c r="B51" t="inlineStr">
        <is>
          <t>Management Fee</t>
        </is>
      </c>
      <c r="C51" t="inlineStr">
        <is>
          <t>2000/002</t>
        </is>
      </c>
      <c r="D51" s="7" t="n">
        <v>0</v>
      </c>
      <c r="E51" s="5" t="n">
        <v>10</v>
      </c>
      <c r="F51" s="12">
        <f>D51*(1+E51/100)</f>
        <v/>
      </c>
      <c r="G51" s="12">
        <f>F51/12</f>
        <v/>
      </c>
      <c r="H51" s="2" t="inlineStr"/>
    </row>
    <row r="52">
      <c r="B52" t="inlineStr">
        <is>
          <t>Legal &amp; Professional Fees</t>
        </is>
      </c>
      <c r="C52" t="inlineStr">
        <is>
          <t>2000/007</t>
        </is>
      </c>
      <c r="D52" s="7" t="n">
        <v>0</v>
      </c>
      <c r="E52" s="5" t="n">
        <v>10</v>
      </c>
      <c r="F52" s="12">
        <f>D52*(1+E52/100)</f>
        <v/>
      </c>
      <c r="G52" s="12">
        <f>F52/12</f>
        <v/>
      </c>
      <c r="H52" s="2" t="inlineStr"/>
    </row>
    <row r="53">
      <c r="B53" t="inlineStr">
        <is>
          <t>Meeting / Venue Expenses</t>
        </is>
      </c>
      <c r="D53" s="7" t="n">
        <v>0</v>
      </c>
      <c r="E53" s="5" t="n">
        <v>10</v>
      </c>
      <c r="F53" s="12">
        <f>D53*(1+E53/100)</f>
        <v/>
      </c>
      <c r="G53" s="12">
        <f>F53/12</f>
        <v/>
      </c>
      <c r="H53" s="2" t="inlineStr"/>
    </row>
    <row r="54">
      <c r="B54" t="inlineStr">
        <is>
          <t>Telephone / Communications</t>
        </is>
      </c>
      <c r="D54" s="7" t="n">
        <v>0</v>
      </c>
      <c r="E54" s="5" t="n">
        <v>10</v>
      </c>
      <c r="F54" s="12">
        <f>D54*(1+E54/100)</f>
        <v/>
      </c>
      <c r="G54" s="12">
        <f>F54/12</f>
        <v/>
      </c>
      <c r="H54" s="2" t="inlineStr"/>
    </row>
    <row r="55">
      <c r="B55" t="inlineStr">
        <is>
          <t>Office / General Expenses</t>
        </is>
      </c>
      <c r="D55" s="7" t="n">
        <v>0</v>
      </c>
      <c r="E55" s="5" t="n">
        <v>10</v>
      </c>
      <c r="F55" s="12">
        <f>D55*(1+E55/100)</f>
        <v/>
      </c>
      <c r="G55" s="12">
        <f>F55/12</f>
        <v/>
      </c>
      <c r="H55" s="2" t="inlineStr"/>
    </row>
    <row r="56">
      <c r="B56" t="inlineStr">
        <is>
          <t>Property Valuation</t>
        </is>
      </c>
      <c r="C56" t="inlineStr">
        <is>
          <t>2000/023</t>
        </is>
      </c>
      <c r="D56" s="7" t="n">
        <v>0</v>
      </c>
      <c r="E56" s="5" t="n">
        <v>0</v>
      </c>
      <c r="F56" s="12">
        <f>D56*(1+E56/100)</f>
        <v/>
      </c>
      <c r="G56" s="12">
        <f>F56/12</f>
        <v/>
      </c>
      <c r="H56" s="2" t="inlineStr"/>
    </row>
    <row r="57">
      <c r="B57" t="inlineStr">
        <is>
          <t>Security / Guarding</t>
        </is>
      </c>
      <c r="C57" t="inlineStr">
        <is>
          <t>2000/015</t>
        </is>
      </c>
      <c r="D57" s="7" t="n">
        <v>0</v>
      </c>
      <c r="E57" s="5" t="n">
        <v>10</v>
      </c>
      <c r="F57" s="12">
        <f>D57*(1+E57/100)</f>
        <v/>
      </c>
      <c r="G57" s="12">
        <f>F57/12</f>
        <v/>
      </c>
      <c r="H57" s="2" t="inlineStr"/>
    </row>
    <row r="58">
      <c r="B58" t="inlineStr">
        <is>
          <t>Garden Service (contract)</t>
        </is>
      </c>
      <c r="D58" s="7" t="n">
        <v>0</v>
      </c>
      <c r="E58" s="5" t="n">
        <v>10</v>
      </c>
      <c r="F58" s="12">
        <f>D58*(1+E58/100)</f>
        <v/>
      </c>
      <c r="G58" s="12">
        <f>F58/12</f>
        <v/>
      </c>
      <c r="H58" s="2" t="inlineStr"/>
    </row>
    <row r="59">
      <c r="B59" t="inlineStr">
        <is>
          <t>Cleaning &amp; Materials</t>
        </is>
      </c>
      <c r="D59" s="7" t="n">
        <v>0</v>
      </c>
      <c r="E59" s="5" t="n">
        <v>10</v>
      </c>
      <c r="F59" s="12">
        <f>D59*(1+E59/100)</f>
        <v/>
      </c>
      <c r="G59" s="12">
        <f>F59/12</f>
        <v/>
      </c>
      <c r="H59" s="2" t="inlineStr"/>
    </row>
    <row r="60">
      <c r="B60" t="inlineStr">
        <is>
          <t>Health &amp; Safety</t>
        </is>
      </c>
      <c r="D60" s="7" t="n">
        <v>0</v>
      </c>
      <c r="E60" s="5" t="n">
        <v>10</v>
      </c>
      <c r="F60" s="12">
        <f>D60*(1+E60/100)</f>
        <v/>
      </c>
      <c r="G60" s="12">
        <f>F60/12</f>
        <v/>
      </c>
      <c r="H60" s="2" t="inlineStr"/>
    </row>
    <row r="61">
      <c r="B61" t="inlineStr">
        <is>
          <t>Keys &amp; Remotes</t>
        </is>
      </c>
      <c r="D61" s="7" t="n">
        <v>0</v>
      </c>
      <c r="E61" s="5" t="n">
        <v>10</v>
      </c>
      <c r="F61" s="12">
        <f>D61*(1+E61/100)</f>
        <v/>
      </c>
      <c r="G61" s="12">
        <f>F61/12</f>
        <v/>
      </c>
      <c r="H61" s="2" t="inlineStr"/>
    </row>
    <row r="62">
      <c r="B62" t="inlineStr">
        <is>
          <t>Computer / IT Expenses</t>
        </is>
      </c>
      <c r="D62" s="7" t="n">
        <v>0</v>
      </c>
      <c r="E62" s="5" t="n">
        <v>10</v>
      </c>
      <c r="F62" s="12">
        <f>D62*(1+E62/100)</f>
        <v/>
      </c>
      <c r="G62" s="12">
        <f>F62/12</f>
        <v/>
      </c>
      <c r="H62" s="2" t="inlineStr"/>
    </row>
    <row r="63">
      <c r="B63" t="inlineStr">
        <is>
          <t>Printing &amp; Stationery</t>
        </is>
      </c>
      <c r="D63" s="7" t="n">
        <v>0</v>
      </c>
      <c r="E63" s="5" t="n">
        <v>10</v>
      </c>
      <c r="F63" s="12">
        <f>D63*(1+E63/100)</f>
        <v/>
      </c>
      <c r="G63" s="12">
        <f>F63/12</f>
        <v/>
      </c>
      <c r="H63" s="2" t="inlineStr"/>
    </row>
    <row r="64">
      <c r="B64" t="inlineStr">
        <is>
          <t>Other Expenditure 1</t>
        </is>
      </c>
      <c r="D64" s="7" t="n">
        <v>0</v>
      </c>
      <c r="E64" s="5" t="n">
        <v>10</v>
      </c>
      <c r="F64" s="12">
        <f>D64*(1+E64/100)</f>
        <v/>
      </c>
      <c r="G64" s="12">
        <f>F64/12</f>
        <v/>
      </c>
      <c r="H64" s="2" t="inlineStr"/>
    </row>
    <row r="65">
      <c r="B65" t="inlineStr">
        <is>
          <t>Other Expenditure 2</t>
        </is>
      </c>
      <c r="D65" s="7" t="n">
        <v>0</v>
      </c>
      <c r="E65" s="5" t="n">
        <v>10</v>
      </c>
      <c r="F65" s="12">
        <f>D65*(1+E65/100)</f>
        <v/>
      </c>
      <c r="G65" s="12">
        <f>F65/12</f>
        <v/>
      </c>
      <c r="H65" s="2" t="inlineStr"/>
    </row>
    <row r="66">
      <c r="B66" s="13" t="inlineStr">
        <is>
          <t>TOTAL EXPENDITURE</t>
        </is>
      </c>
      <c r="F66" s="14">
        <f>SUM(F46:F65)</f>
        <v/>
      </c>
      <c r="G66" s="14">
        <f>F66/12</f>
        <v/>
      </c>
    </row>
    <row r="68">
      <c r="B68" s="8" t="inlineStr">
        <is>
          <t>REPAIR AND MAINTENANCE</t>
        </is>
      </c>
      <c r="C68" s="8" t="n"/>
      <c r="D68" s="8" t="n"/>
      <c r="E68" s="8" t="n"/>
      <c r="F68" s="8" t="n"/>
      <c r="G68" s="8" t="n"/>
      <c r="H68" s="8" t="n"/>
    </row>
    <row r="69">
      <c r="B69" s="9" t="inlineStr">
        <is>
          <t>Description</t>
        </is>
      </c>
      <c r="C69" s="9" t="inlineStr">
        <is>
          <t>GL Code</t>
        </is>
      </c>
      <c r="D69" s="9" t="inlineStr">
        <is>
          <t>Actual</t>
        </is>
      </c>
      <c r="E69" s="9" t="inlineStr">
        <is>
          <t>% Increase</t>
        </is>
      </c>
      <c r="F69" s="9" t="inlineStr">
        <is>
          <t>Budgeted Yearly</t>
        </is>
      </c>
      <c r="G69" s="9" t="inlineStr">
        <is>
          <t>Monthly</t>
        </is>
      </c>
      <c r="H69" s="9" t="inlineStr">
        <is>
          <t>Comments / Notes</t>
        </is>
      </c>
    </row>
    <row r="70">
      <c r="B70" t="inlineStr">
        <is>
          <t>Electrical</t>
        </is>
      </c>
      <c r="C70" t="inlineStr">
        <is>
          <t>2200/005</t>
        </is>
      </c>
      <c r="D70" s="7" t="n">
        <v>0</v>
      </c>
      <c r="E70" s="5" t="n">
        <v>5</v>
      </c>
      <c r="F70" s="12">
        <f>D70*(1+E70/100)</f>
        <v/>
      </c>
      <c r="G70" s="12">
        <f>F70/12</f>
        <v/>
      </c>
      <c r="H70" s="2" t="inlineStr"/>
    </row>
    <row r="71">
      <c r="B71" t="inlineStr">
        <is>
          <t>Fire Equipment</t>
        </is>
      </c>
      <c r="C71" t="inlineStr">
        <is>
          <t>2200/001</t>
        </is>
      </c>
      <c r="D71" s="7" t="n">
        <v>0</v>
      </c>
      <c r="E71" s="5" t="n">
        <v>5</v>
      </c>
      <c r="F71" s="12">
        <f>D71*(1+E71/100)</f>
        <v/>
      </c>
      <c r="G71" s="12">
        <f>F71/12</f>
        <v/>
      </c>
      <c r="H71" s="2" t="inlineStr"/>
    </row>
    <row r="72">
      <c r="B72" t="inlineStr">
        <is>
          <t>General / Buildings Maintenance</t>
        </is>
      </c>
      <c r="C72" t="inlineStr">
        <is>
          <t>2200/002</t>
        </is>
      </c>
      <c r="D72" s="7" t="n">
        <v>0</v>
      </c>
      <c r="E72" s="5" t="n">
        <v>0</v>
      </c>
      <c r="F72" s="12">
        <f>D72*(1+E72/100)</f>
        <v/>
      </c>
      <c r="G72" s="12">
        <f>F72/12</f>
        <v/>
      </c>
      <c r="H72" s="2" t="inlineStr"/>
    </row>
    <row r="73">
      <c r="B73" t="inlineStr">
        <is>
          <t>Garden Expenses</t>
        </is>
      </c>
      <c r="C73" t="inlineStr">
        <is>
          <t>2200/009</t>
        </is>
      </c>
      <c r="D73" s="7" t="n">
        <v>0</v>
      </c>
      <c r="E73" s="5" t="n">
        <v>5</v>
      </c>
      <c r="F73" s="12">
        <f>D73*(1+E73/100)</f>
        <v/>
      </c>
      <c r="G73" s="12">
        <f>F73/12</f>
        <v/>
      </c>
      <c r="H73" s="2" t="inlineStr"/>
    </row>
    <row r="74">
      <c r="B74" t="inlineStr">
        <is>
          <t>Gate &amp; Intercom</t>
        </is>
      </c>
      <c r="C74" t="inlineStr">
        <is>
          <t>2200/004</t>
        </is>
      </c>
      <c r="D74" s="7" t="n">
        <v>0</v>
      </c>
      <c r="E74" s="5" t="n">
        <v>5</v>
      </c>
      <c r="F74" s="12">
        <f>D74*(1+E74/100)</f>
        <v/>
      </c>
      <c r="G74" s="12">
        <f>F74/12</f>
        <v/>
      </c>
      <c r="H74" s="2" t="inlineStr"/>
    </row>
    <row r="75">
      <c r="B75" t="inlineStr">
        <is>
          <t>Plumbing</t>
        </is>
      </c>
      <c r="C75" t="inlineStr">
        <is>
          <t>2200/003</t>
        </is>
      </c>
      <c r="D75" s="7" t="n">
        <v>0</v>
      </c>
      <c r="E75" s="5" t="n">
        <v>5</v>
      </c>
      <c r="F75" s="12">
        <f>D75*(1+E75/100)</f>
        <v/>
      </c>
      <c r="G75" s="12">
        <f>F75/12</f>
        <v/>
      </c>
      <c r="H75" s="2" t="inlineStr"/>
    </row>
    <row r="76">
      <c r="B76" t="inlineStr">
        <is>
          <t>Painting / Waterproofing</t>
        </is>
      </c>
      <c r="D76" s="7" t="n">
        <v>0</v>
      </c>
      <c r="E76" s="5" t="n">
        <v>5</v>
      </c>
      <c r="F76" s="12">
        <f>D76*(1+E76/100)</f>
        <v/>
      </c>
      <c r="G76" s="12">
        <f>F76/12</f>
        <v/>
      </c>
      <c r="H76" s="2" t="inlineStr"/>
    </row>
    <row r="77">
      <c r="B77" t="inlineStr">
        <is>
          <t>Roofs &amp; Gutters</t>
        </is>
      </c>
      <c r="D77" s="7" t="n">
        <v>0</v>
      </c>
      <c r="E77" s="5" t="n">
        <v>5</v>
      </c>
      <c r="F77" s="12">
        <f>D77*(1+E77/100)</f>
        <v/>
      </c>
      <c r="G77" s="12">
        <f>F77/12</f>
        <v/>
      </c>
      <c r="H77" s="2" t="inlineStr"/>
    </row>
    <row r="78">
      <c r="B78" t="inlineStr">
        <is>
          <t>Pool</t>
        </is>
      </c>
      <c r="C78" t="inlineStr">
        <is>
          <t>2200/012</t>
        </is>
      </c>
      <c r="D78" s="7" t="n">
        <v>0</v>
      </c>
      <c r="E78" s="5" t="n">
        <v>5</v>
      </c>
      <c r="F78" s="12">
        <f>D78*(1+E78/100)</f>
        <v/>
      </c>
      <c r="G78" s="12">
        <f>F78/12</f>
        <v/>
      </c>
      <c r="H78" s="2" t="inlineStr"/>
    </row>
    <row r="79">
      <c r="B79" t="inlineStr">
        <is>
          <t>Electric Fence</t>
        </is>
      </c>
      <c r="C79" t="inlineStr">
        <is>
          <t>2200/006</t>
        </is>
      </c>
      <c r="D79" s="7" t="n">
        <v>0</v>
      </c>
      <c r="E79" s="5" t="n">
        <v>5</v>
      </c>
      <c r="F79" s="12">
        <f>D79*(1+E79/100)</f>
        <v/>
      </c>
      <c r="G79" s="12">
        <f>F79/12</f>
        <v/>
      </c>
      <c r="H79" s="2" t="inlineStr"/>
    </row>
    <row r="80">
      <c r="B80" t="inlineStr">
        <is>
          <t>CCTV / Cameras</t>
        </is>
      </c>
      <c r="D80" s="7" t="n">
        <v>0</v>
      </c>
      <c r="E80" s="5" t="n">
        <v>5</v>
      </c>
      <c r="F80" s="12">
        <f>D80*(1+E80/100)</f>
        <v/>
      </c>
      <c r="G80" s="12">
        <f>F80/12</f>
        <v/>
      </c>
      <c r="H80" s="2" t="inlineStr"/>
    </row>
    <row r="81">
      <c r="B81" t="inlineStr">
        <is>
          <t>Paving / Roadways</t>
        </is>
      </c>
      <c r="D81" s="7" t="n">
        <v>0</v>
      </c>
      <c r="E81" s="5" t="n">
        <v>5</v>
      </c>
      <c r="F81" s="12">
        <f>D81*(1+E81/100)</f>
        <v/>
      </c>
      <c r="G81" s="12">
        <f>F81/12</f>
        <v/>
      </c>
      <c r="H81" s="2" t="inlineStr"/>
    </row>
    <row r="82">
      <c r="B82" t="inlineStr">
        <is>
          <t>Lifts</t>
        </is>
      </c>
      <c r="D82" s="7" t="n">
        <v>0</v>
      </c>
      <c r="E82" s="5" t="n">
        <v>5</v>
      </c>
      <c r="F82" s="12">
        <f>D82*(1+E82/100)</f>
        <v/>
      </c>
      <c r="G82" s="12">
        <f>F82/12</f>
        <v/>
      </c>
      <c r="H82" s="2" t="inlineStr"/>
    </row>
    <row r="83">
      <c r="B83" t="inlineStr">
        <is>
          <t>Other R&amp;M 1</t>
        </is>
      </c>
      <c r="D83" s="7" t="n">
        <v>0</v>
      </c>
      <c r="E83" s="5" t="n">
        <v>5</v>
      </c>
      <c r="F83" s="12">
        <f>D83*(1+E83/100)</f>
        <v/>
      </c>
      <c r="G83" s="12">
        <f>F83/12</f>
        <v/>
      </c>
      <c r="H83" s="2" t="inlineStr"/>
    </row>
    <row r="84">
      <c r="B84" t="inlineStr">
        <is>
          <t>Other R&amp;M 2</t>
        </is>
      </c>
      <c r="D84" s="7" t="n">
        <v>0</v>
      </c>
      <c r="E84" s="5" t="n">
        <v>5</v>
      </c>
      <c r="F84" s="12">
        <f>D84*(1+E84/100)</f>
        <v/>
      </c>
      <c r="G84" s="12">
        <f>F84/12</f>
        <v/>
      </c>
      <c r="H84" s="2" t="inlineStr"/>
    </row>
    <row r="86">
      <c r="B86" s="15" t="inlineStr">
        <is>
          <t>Less: Insurance Claims Recoveries / Payouts</t>
        </is>
      </c>
      <c r="D86" s="7" t="n">
        <v>0</v>
      </c>
      <c r="E86" s="5" t="n">
        <v>0</v>
      </c>
      <c r="F86" s="11">
        <f>D86*(1+E86/100)</f>
        <v/>
      </c>
      <c r="G86" s="11">
        <f>F86/12</f>
        <v/>
      </c>
      <c r="H86" s="16" t="inlineStr">
        <is>
          <t>IMPORTANT: Enter total insurance payouts that were put through R&amp;M. This is deducted so you do not over-budget.</t>
        </is>
      </c>
    </row>
    <row r="87">
      <c r="B87" s="13" t="inlineStr">
        <is>
          <t>TOTAL REPAIR &amp; MAINTENANCE (Net)</t>
        </is>
      </c>
      <c r="F87" s="14">
        <f>SUM(F70:F84)-F86</f>
        <v/>
      </c>
      <c r="G87" s="14">
        <f>F87/12</f>
        <v/>
      </c>
    </row>
    <row r="89">
      <c r="B89" s="8" t="inlineStr">
        <is>
          <t>PERSONNEL</t>
        </is>
      </c>
      <c r="C89" s="8" t="n"/>
      <c r="D89" s="8" t="n"/>
      <c r="E89" s="8" t="n"/>
      <c r="F89" s="8" t="n"/>
      <c r="G89" s="8" t="n"/>
      <c r="H89" s="8" t="n"/>
    </row>
    <row r="90">
      <c r="B90" s="9" t="inlineStr">
        <is>
          <t>Description</t>
        </is>
      </c>
      <c r="C90" s="9" t="inlineStr">
        <is>
          <t>GL Code</t>
        </is>
      </c>
      <c r="D90" s="9" t="inlineStr">
        <is>
          <t>Actual</t>
        </is>
      </c>
      <c r="E90" s="9" t="inlineStr">
        <is>
          <t>% Increase</t>
        </is>
      </c>
      <c r="F90" s="9" t="inlineStr">
        <is>
          <t>Budgeted Yearly</t>
        </is>
      </c>
      <c r="G90" s="9" t="inlineStr">
        <is>
          <t>Monthly</t>
        </is>
      </c>
      <c r="H90" s="9" t="inlineStr">
        <is>
          <t>Comments / Notes</t>
        </is>
      </c>
    </row>
    <row r="91">
      <c r="B91" t="inlineStr">
        <is>
          <t>Salaries &amp; Wages</t>
        </is>
      </c>
      <c r="C91" t="inlineStr">
        <is>
          <t>4000/001</t>
        </is>
      </c>
      <c r="D91" s="7" t="n">
        <v>0</v>
      </c>
      <c r="E91" s="5" t="n">
        <v>10</v>
      </c>
      <c r="F91" s="12">
        <f>D91*(1+E91/100)</f>
        <v/>
      </c>
      <c r="G91" s="12">
        <f>F91/12</f>
        <v/>
      </c>
      <c r="H91" s="2" t="inlineStr"/>
    </row>
    <row r="92">
      <c r="B92" t="inlineStr">
        <is>
          <t>Casual / Relief Wages</t>
        </is>
      </c>
      <c r="C92" t="inlineStr">
        <is>
          <t>4000/003</t>
        </is>
      </c>
      <c r="D92" s="7" t="n">
        <v>0</v>
      </c>
      <c r="E92" s="5" t="n">
        <v>10</v>
      </c>
      <c r="F92" s="12">
        <f>D92*(1+E92/100)</f>
        <v/>
      </c>
      <c r="G92" s="12">
        <f>F92/12</f>
        <v/>
      </c>
      <c r="H92" s="2" t="inlineStr"/>
    </row>
    <row r="93">
      <c r="B93" t="inlineStr">
        <is>
          <t>PAYE / UIF / SDL Contributions</t>
        </is>
      </c>
      <c r="C93" t="inlineStr">
        <is>
          <t>4000/005</t>
        </is>
      </c>
      <c r="D93" s="7" t="n">
        <v>0</v>
      </c>
      <c r="E93" s="5" t="n">
        <v>10</v>
      </c>
      <c r="F93" s="12">
        <f>D93*(1+E93/100)</f>
        <v/>
      </c>
      <c r="G93" s="12">
        <f>F93/12</f>
        <v/>
      </c>
      <c r="H93" s="2" t="inlineStr"/>
    </row>
    <row r="94">
      <c r="B94" t="inlineStr">
        <is>
          <t>Travel / Allowances</t>
        </is>
      </c>
      <c r="D94" s="7" t="n">
        <v>0</v>
      </c>
      <c r="E94" s="5" t="n">
        <v>10</v>
      </c>
      <c r="F94" s="12">
        <f>D94*(1+E94/100)</f>
        <v/>
      </c>
      <c r="G94" s="12">
        <f>F94/12</f>
        <v/>
      </c>
      <c r="H94" s="2" t="inlineStr"/>
    </row>
    <row r="95">
      <c r="B95" t="inlineStr">
        <is>
          <t>Bonuses &amp; Overtime</t>
        </is>
      </c>
      <c r="C95" t="inlineStr">
        <is>
          <t>4000/007</t>
        </is>
      </c>
      <c r="D95" s="7" t="n">
        <v>0</v>
      </c>
      <c r="E95" s="5" t="n">
        <v>10</v>
      </c>
      <c r="F95" s="12">
        <f>D95*(1+E95/100)</f>
        <v/>
      </c>
      <c r="G95" s="12">
        <f>F95/12</f>
        <v/>
      </c>
      <c r="H95" s="2" t="inlineStr"/>
    </row>
    <row r="96">
      <c r="B96" t="inlineStr">
        <is>
          <t>Staff Welfare / Protective Clothing</t>
        </is>
      </c>
      <c r="D96" s="7" t="n">
        <v>0</v>
      </c>
      <c r="E96" s="5" t="n">
        <v>10</v>
      </c>
      <c r="F96" s="12">
        <f>D96*(1+E96/100)</f>
        <v/>
      </c>
      <c r="G96" s="12">
        <f>F96/12</f>
        <v/>
      </c>
      <c r="H96" s="2" t="inlineStr"/>
    </row>
    <row r="97">
      <c r="B97" t="inlineStr">
        <is>
          <t>Pension / Provident Fund</t>
        </is>
      </c>
      <c r="D97" s="7" t="n">
        <v>0</v>
      </c>
      <c r="E97" s="5" t="n">
        <v>10</v>
      </c>
      <c r="F97" s="12">
        <f>D97*(1+E97/100)</f>
        <v/>
      </c>
      <c r="G97" s="12">
        <f>F97/12</f>
        <v/>
      </c>
      <c r="H97" s="2" t="inlineStr"/>
    </row>
    <row r="98">
      <c r="B98" t="inlineStr">
        <is>
          <t>WCA / COIDA</t>
        </is>
      </c>
      <c r="D98" s="7" t="n">
        <v>0</v>
      </c>
      <c r="E98" s="5" t="n">
        <v>10</v>
      </c>
      <c r="F98" s="12">
        <f>D98*(1+E98/100)</f>
        <v/>
      </c>
      <c r="G98" s="12">
        <f>F98/12</f>
        <v/>
      </c>
      <c r="H98" s="2" t="inlineStr"/>
    </row>
    <row r="99">
      <c r="B99" t="inlineStr">
        <is>
          <t>Other Personnel Costs</t>
        </is>
      </c>
      <c r="D99" s="7" t="n">
        <v>0</v>
      </c>
      <c r="E99" s="5" t="n">
        <v>10</v>
      </c>
      <c r="F99" s="12">
        <f>D99*(1+E99/100)</f>
        <v/>
      </c>
      <c r="G99" s="12">
        <f>F99/12</f>
        <v/>
      </c>
      <c r="H99" s="2" t="inlineStr"/>
    </row>
    <row r="100">
      <c r="B100" s="13" t="inlineStr">
        <is>
          <t>TOTAL PERSONNEL</t>
        </is>
      </c>
      <c r="F100" s="14">
        <f>SUM(F91:F99)</f>
        <v/>
      </c>
      <c r="G100" s="14">
        <f>F100/12</f>
        <v/>
      </c>
    </row>
    <row r="102">
      <c r="B102" s="8" t="inlineStr">
        <is>
          <t>INCOME TAX</t>
        </is>
      </c>
      <c r="C102" s="8" t="n"/>
      <c r="D102" s="8" t="n"/>
      <c r="E102" s="8" t="n"/>
      <c r="F102" s="8" t="n"/>
      <c r="G102" s="8" t="n"/>
      <c r="H102" s="8" t="n"/>
    </row>
    <row r="103">
      <c r="B103" s="9" t="inlineStr">
        <is>
          <t>Description</t>
        </is>
      </c>
      <c r="C103" s="9" t="inlineStr">
        <is>
          <t>GL Code</t>
        </is>
      </c>
      <c r="D103" s="9" t="inlineStr">
        <is>
          <t>Actual</t>
        </is>
      </c>
      <c r="E103" s="9" t="inlineStr">
        <is>
          <t>% Increase</t>
        </is>
      </c>
      <c r="F103" s="9" t="inlineStr">
        <is>
          <t>Budgeted Yearly</t>
        </is>
      </c>
      <c r="G103" s="9" t="inlineStr">
        <is>
          <t>Monthly</t>
        </is>
      </c>
      <c r="H103" s="9" t="inlineStr">
        <is>
          <t>Comments / Notes</t>
        </is>
      </c>
    </row>
    <row r="104">
      <c r="B104" t="inlineStr">
        <is>
          <t>Taxation Payable</t>
        </is>
      </c>
      <c r="C104" t="inlineStr">
        <is>
          <t>4700/001</t>
        </is>
      </c>
      <c r="D104" s="7" t="n">
        <v>0</v>
      </c>
      <c r="E104" s="5" t="n">
        <v>0</v>
      </c>
      <c r="F104" s="12">
        <f>D104*(1+E104/100)</f>
        <v/>
      </c>
      <c r="G104" s="12">
        <f>F104/12</f>
        <v/>
      </c>
      <c r="H104" s="2" t="inlineStr">
        <is>
          <t>Usually based on taxable investment income</t>
        </is>
      </c>
    </row>
    <row r="105">
      <c r="B105" s="13" t="inlineStr">
        <is>
          <t>TOTAL INCOME TAX</t>
        </is>
      </c>
      <c r="F105" s="14">
        <f>F104</f>
        <v/>
      </c>
      <c r="G105" s="14">
        <f>F105/12</f>
        <v/>
      </c>
    </row>
    <row r="107">
      <c r="B107" s="8" t="inlineStr">
        <is>
          <t>SPECIAL PROJECTS (from 10 Year Maintenance Plan – Year 1)</t>
        </is>
      </c>
      <c r="C107" s="8" t="n"/>
      <c r="D107" s="8" t="n"/>
      <c r="E107" s="8" t="n"/>
      <c r="F107" s="8" t="n"/>
      <c r="G107" s="8" t="n"/>
      <c r="H107" s="8" t="n"/>
    </row>
    <row r="108">
      <c r="B108" s="9" t="inlineStr">
        <is>
          <t>Description</t>
        </is>
      </c>
      <c r="C108" s="9" t="inlineStr">
        <is>
          <t>GL Code</t>
        </is>
      </c>
      <c r="D108" s="9" t="inlineStr">
        <is>
          <t>Actual</t>
        </is>
      </c>
      <c r="E108" s="9" t="inlineStr">
        <is>
          <t>% Increase</t>
        </is>
      </c>
      <c r="F108" s="9" t="inlineStr">
        <is>
          <t>Budgeted Yearly</t>
        </is>
      </c>
      <c r="G108" s="9" t="inlineStr">
        <is>
          <t>Monthly</t>
        </is>
      </c>
      <c r="H108" s="9" t="inlineStr">
        <is>
          <t>Comments / Notes</t>
        </is>
      </c>
    </row>
    <row r="109">
      <c r="B109" t="inlineStr">
        <is>
          <t>Special Project 1 (from 10YMP)</t>
        </is>
      </c>
      <c r="D109" s="7" t="n">
        <v>0</v>
      </c>
      <c r="E109" s="5" t="n">
        <v>0</v>
      </c>
      <c r="F109" s="12">
        <f>D109*(1+E109/100)</f>
        <v/>
      </c>
      <c r="G109" s="12">
        <f>F109/12</f>
        <v/>
      </c>
      <c r="H109" s="2" t="inlineStr"/>
    </row>
    <row r="110">
      <c r="B110" t="inlineStr">
        <is>
          <t>Special Project 2</t>
        </is>
      </c>
      <c r="D110" s="7" t="n">
        <v>0</v>
      </c>
      <c r="E110" s="5" t="n">
        <v>0</v>
      </c>
      <c r="F110" s="12">
        <f>D110*(1+E110/100)</f>
        <v/>
      </c>
      <c r="G110" s="12">
        <f>F110/12</f>
        <v/>
      </c>
      <c r="H110" s="2" t="inlineStr"/>
    </row>
    <row r="111">
      <c r="B111" t="inlineStr">
        <is>
          <t>Special Project 3</t>
        </is>
      </c>
      <c r="D111" s="7" t="n">
        <v>0</v>
      </c>
      <c r="E111" s="5" t="n">
        <v>0</v>
      </c>
      <c r="F111" s="12">
        <f>D111*(1+E111/100)</f>
        <v/>
      </c>
      <c r="G111" s="12">
        <f>F111/12</f>
        <v/>
      </c>
      <c r="H111" s="2" t="inlineStr"/>
    </row>
    <row r="112">
      <c r="B112" t="inlineStr">
        <is>
          <t>Special Project 4</t>
        </is>
      </c>
      <c r="D112" s="7" t="n">
        <v>0</v>
      </c>
      <c r="E112" s="5" t="n">
        <v>0</v>
      </c>
      <c r="F112" s="12">
        <f>D112*(1+E112/100)</f>
        <v/>
      </c>
      <c r="G112" s="12">
        <f>F112/12</f>
        <v/>
      </c>
      <c r="H112" s="2" t="inlineStr"/>
    </row>
    <row r="113">
      <c r="B113" t="inlineStr">
        <is>
          <t>Special Project 5</t>
        </is>
      </c>
      <c r="D113" s="7" t="n">
        <v>0</v>
      </c>
      <c r="E113" s="5" t="n">
        <v>0</v>
      </c>
      <c r="F113" s="12">
        <f>D113*(1+E113/100)</f>
        <v/>
      </c>
      <c r="G113" s="12">
        <f>F113/12</f>
        <v/>
      </c>
      <c r="H113" s="2" t="inlineStr"/>
    </row>
    <row r="114">
      <c r="B114" s="13" t="inlineStr">
        <is>
          <t>TOTAL SPECIAL PROJECTS</t>
        </is>
      </c>
      <c r="F114" s="14">
        <f>SUM(F109:F113)</f>
        <v/>
      </c>
      <c r="G114" s="14">
        <f>F114/12</f>
        <v/>
      </c>
    </row>
    <row r="116">
      <c r="B116" s="8" t="inlineStr">
        <is>
          <t>SUMMARY &amp; LEVY CALCULATION</t>
        </is>
      </c>
      <c r="C116" s="8" t="n"/>
      <c r="D116" s="8" t="n"/>
      <c r="E116" s="8" t="n"/>
      <c r="F116" s="8" t="n"/>
      <c r="G116" s="8" t="n"/>
      <c r="H116" s="8" t="n"/>
    </row>
    <row r="117">
      <c r="B117" t="inlineStr">
        <is>
          <t>Total Municipal + Expenditure + R&amp;M + Personnel + Tax + Special Projects</t>
        </is>
      </c>
      <c r="F117" s="12">
        <f>F42+F66+F87+F100+F105+F114</f>
        <v/>
      </c>
      <c r="G117" s="12">
        <f>F117/12</f>
        <v/>
      </c>
    </row>
    <row r="118">
      <c r="B118" t="inlineStr">
        <is>
          <t>Plus: Reserve Fund Contribution (to be collected)</t>
        </is>
      </c>
      <c r="F118" s="12">
        <f>F15</f>
        <v/>
      </c>
      <c r="G118" s="12">
        <f>F118/12</f>
        <v/>
      </c>
    </row>
    <row r="119">
      <c r="B119" t="inlineStr">
        <is>
          <t>Less: Other Income + Municipal Recoveries (already expected)</t>
        </is>
      </c>
      <c r="F119" s="12">
        <f>SUM(F19:F23)+SUM(F26:F30)</f>
        <v/>
      </c>
      <c r="G119" s="12">
        <f>F119/12</f>
        <v/>
      </c>
    </row>
    <row r="120">
      <c r="B120" s="17" t="inlineStr">
        <is>
          <t>TOTAL AMOUNT TO BE COLLECTED FROM LEVIES (Expenses + Reserve – Other Income)</t>
        </is>
      </c>
      <c r="F120" s="18">
        <f>F117+F118-F119</f>
        <v/>
      </c>
      <c r="G120" s="18">
        <f>F120/12</f>
        <v/>
      </c>
    </row>
    <row r="122">
      <c r="B122" s="19" t="inlineStr">
        <is>
          <t>GROSS ORDINARY LEVIES REQUIRED (adjusted for under-recovery)</t>
        </is>
      </c>
      <c r="F122" s="20">
        <f>IF(D7=0,0,F120/(D7/100))</f>
        <v/>
      </c>
      <c r="G122" s="11">
        <f>F122/12</f>
        <v/>
      </c>
      <c r="H122" s="16" t="inlineStr">
        <is>
          <t>This is the total Ordinary Levy that must be charged so that after under-recovery you still collect enough.</t>
        </is>
      </c>
    </row>
    <row r="124">
      <c r="B124" s="17" t="inlineStr">
        <is>
          <t>RESERVE FUND</t>
        </is>
      </c>
      <c r="C124" t="inlineStr">
        <is>
          <t>Opening Balance</t>
        </is>
      </c>
      <c r="D124" s="12">
        <f>D8</f>
        <v/>
      </c>
      <c r="E124" t="inlineStr">
        <is>
          <t>Plus Contribution</t>
        </is>
      </c>
      <c r="F124" s="12">
        <f>F15</f>
        <v/>
      </c>
      <c r="G124" t="inlineStr">
        <is>
          <t>Projected Closing (before major projects)</t>
        </is>
      </c>
      <c r="H124" s="18">
        <f>D124+F124</f>
        <v/>
      </c>
    </row>
    <row r="127">
      <c r="B127" s="17" t="inlineStr">
        <is>
          <t>HOW TO USE THIS TEMPLATE</t>
        </is>
      </c>
    </row>
    <row r="128">
      <c r="B128" t="inlineStr">
        <is>
          <t>1. Change Complex Name and Financial Year in the yellow cells at the top.</t>
        </is>
      </c>
    </row>
    <row r="129">
      <c r="B129" t="inlineStr">
        <is>
          <t>2. Set Expected Levy Collection Rate (e.g. 95 for 5% under-recovery) and Opening Reserve Balance.</t>
        </is>
      </c>
    </row>
    <row r="130">
      <c r="B130" t="inlineStr">
        <is>
          <t>3. Enter Actual figures from the financial statements into the yellow 'Actual' column for every line.</t>
        </is>
      </c>
    </row>
    <row r="131">
      <c r="B131" t="inlineStr">
        <is>
          <t>4. Adjust the '% Increase' (yellow) on each line. Default is often 10%, but change per line as needed.</t>
        </is>
      </c>
    </row>
    <row r="132">
      <c r="B132" t="inlineStr">
        <is>
          <t>5. For Insurance Claims: enter the total amount of claims payouts that were allocated to R&amp;M in the red 'Less: Insurance...' line.</t>
        </is>
      </c>
    </row>
    <row r="133">
      <c r="B133" t="inlineStr">
        <is>
          <t>6. Add or delete rows inside any section as needed (copy the formulas from neighbouring rows).</t>
        </is>
      </c>
    </row>
    <row r="134">
      <c r="B134" t="inlineStr">
        <is>
          <t>7. Enter Special Projects for the year (from the 10 YMP sheet Year 1 column).</t>
        </is>
      </c>
    </row>
    <row r="135">
      <c r="B135" t="inlineStr">
        <is>
          <t>8. The Gross Ordinary Levies are calculated automatically so that after under-recovery you still cover all expenses + reserve.</t>
        </is>
      </c>
    </row>
    <row r="136">
      <c r="B136" t="inlineStr">
        <is>
          <t>9. Go to the PQ sheet to allocate the levies to individual units. Update the 10 YMP sheet with planned projects.</t>
        </is>
      </c>
    </row>
  </sheetData>
  <mergeCells count="1">
    <mergeCell ref="B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5" customWidth="1" min="1" max="1"/>
    <col width="18" customWidth="1" min="2" max="2"/>
    <col width="12" customWidth="1" min="3" max="3"/>
    <col width="14" customWidth="1" min="4" max="4"/>
    <col width="14" customWidth="1" min="5" max="5"/>
    <col width="12" customWidth="1" min="6" max="6"/>
    <col width="14" customWidth="1" min="7" max="7"/>
    <col width="30" customWidth="1" min="8" max="8"/>
  </cols>
  <sheetData>
    <row r="1">
      <c r="A1" s="1" t="inlineStr">
        <is>
          <t>PARTICIPATION QUOTA (PQ) / LEVY ALLOCATION</t>
        </is>
      </c>
    </row>
    <row r="2">
      <c r="A2" s="3" t="inlineStr">
        <is>
          <t>This sheet allocates the monthly Ordinary Levies + Reserve Fund + CSOS to each unit according to its PQ. Update unit list and PQs as needed. Totals must equal 1.000000.</t>
        </is>
      </c>
    </row>
    <row r="4">
      <c r="A4" s="4" t="inlineStr">
        <is>
          <t>Monthly amounts from Budget (auto-linked)</t>
        </is>
      </c>
    </row>
    <row r="5">
      <c r="B5" t="inlineStr">
        <is>
          <t>Ordinary Levies (Monthly)</t>
        </is>
      </c>
      <c r="D5" s="18">
        <f>BUDGET!G122</f>
        <v/>
      </c>
    </row>
    <row r="6">
      <c r="B6" t="inlineStr">
        <is>
          <t>Reserve Fund (Monthly)</t>
        </is>
      </c>
      <c r="D6" s="18">
        <f>BUDGET!G15</f>
        <v/>
      </c>
    </row>
    <row r="7">
      <c r="B7" t="inlineStr">
        <is>
          <t>CSOS (Monthly)</t>
        </is>
      </c>
      <c r="D7" s="18">
        <f>BUDGET!G16</f>
        <v/>
      </c>
    </row>
    <row r="8">
      <c r="B8" s="17" t="inlineStr">
        <is>
          <t>TOTAL MONTHLY PER COMPLEX</t>
        </is>
      </c>
      <c r="D8" s="14">
        <f>D5+D6+D7</f>
        <v/>
      </c>
    </row>
    <row r="10">
      <c r="A10" s="21" t="inlineStr">
        <is>
          <t>#</t>
        </is>
      </c>
      <c r="B10" s="21" t="inlineStr">
        <is>
          <t>Unit / Owner Code</t>
        </is>
      </c>
      <c r="C10" s="21" t="inlineStr">
        <is>
          <t>PQ</t>
        </is>
      </c>
      <c r="D10" s="21" t="inlineStr">
        <is>
          <t>Ordinary Levy</t>
        </is>
      </c>
      <c r="E10" s="21" t="inlineStr">
        <is>
          <t>Reserve Fund</t>
        </is>
      </c>
      <c r="F10" s="21" t="inlineStr">
        <is>
          <t>CSOS</t>
        </is>
      </c>
      <c r="G10" s="21" t="inlineStr">
        <is>
          <t>Total Monthly</t>
        </is>
      </c>
      <c r="H10" s="21" t="inlineStr">
        <is>
          <t>Notes</t>
        </is>
      </c>
    </row>
    <row r="11">
      <c r="A11" s="22" t="n">
        <v>1</v>
      </c>
      <c r="B11" s="2" t="inlineStr">
        <is>
          <t>UNIT-001</t>
        </is>
      </c>
      <c r="C11" s="23" t="n">
        <v>0.05</v>
      </c>
      <c r="D11" s="12">
        <f>$D$5*C11</f>
        <v/>
      </c>
      <c r="E11" s="12">
        <f>$D$6*C11</f>
        <v/>
      </c>
      <c r="F11" s="12">
        <f>$D$7*C11</f>
        <v/>
      </c>
      <c r="G11" s="12">
        <f>D11+E11+F11</f>
        <v/>
      </c>
      <c r="H11" s="2" t="inlineStr"/>
    </row>
    <row r="12">
      <c r="A12" s="22" t="n">
        <v>2</v>
      </c>
      <c r="B12" s="2" t="inlineStr">
        <is>
          <t>UNIT-002</t>
        </is>
      </c>
      <c r="C12" s="23" t="n">
        <v>0.05</v>
      </c>
      <c r="D12" s="12">
        <f>$D$5*C12</f>
        <v/>
      </c>
      <c r="E12" s="12">
        <f>$D$6*C12</f>
        <v/>
      </c>
      <c r="F12" s="12">
        <f>$D$7*C12</f>
        <v/>
      </c>
      <c r="G12" s="12">
        <f>D12+E12+F12</f>
        <v/>
      </c>
      <c r="H12" s="2" t="inlineStr"/>
    </row>
    <row r="13">
      <c r="A13" s="22" t="n">
        <v>3</v>
      </c>
      <c r="B13" s="2" t="inlineStr">
        <is>
          <t>UNIT-003</t>
        </is>
      </c>
      <c r="C13" s="23" t="n">
        <v>0.05</v>
      </c>
      <c r="D13" s="12">
        <f>$D$5*C13</f>
        <v/>
      </c>
      <c r="E13" s="12">
        <f>$D$6*C13</f>
        <v/>
      </c>
      <c r="F13" s="12">
        <f>$D$7*C13</f>
        <v/>
      </c>
      <c r="G13" s="12">
        <f>D13+E13+F13</f>
        <v/>
      </c>
      <c r="H13" s="2" t="inlineStr"/>
    </row>
    <row r="14">
      <c r="A14" s="22" t="n">
        <v>4</v>
      </c>
      <c r="B14" s="2" t="inlineStr">
        <is>
          <t>UNIT-004</t>
        </is>
      </c>
      <c r="C14" s="23" t="n">
        <v>0.05</v>
      </c>
      <c r="D14" s="12">
        <f>$D$5*C14</f>
        <v/>
      </c>
      <c r="E14" s="12">
        <f>$D$6*C14</f>
        <v/>
      </c>
      <c r="F14" s="12">
        <f>$D$7*C14</f>
        <v/>
      </c>
      <c r="G14" s="12">
        <f>D14+E14+F14</f>
        <v/>
      </c>
      <c r="H14" s="2" t="inlineStr"/>
    </row>
    <row r="15">
      <c r="A15" s="22" t="n">
        <v>5</v>
      </c>
      <c r="B15" s="2" t="inlineStr">
        <is>
          <t>UNIT-005</t>
        </is>
      </c>
      <c r="C15" s="23" t="n">
        <v>0.05</v>
      </c>
      <c r="D15" s="12">
        <f>$D$5*C15</f>
        <v/>
      </c>
      <c r="E15" s="12">
        <f>$D$6*C15</f>
        <v/>
      </c>
      <c r="F15" s="12">
        <f>$D$7*C15</f>
        <v/>
      </c>
      <c r="G15" s="12">
        <f>D15+E15+F15</f>
        <v/>
      </c>
      <c r="H15" s="2" t="inlineStr"/>
    </row>
    <row r="16">
      <c r="A16" s="22" t="n">
        <v>6</v>
      </c>
      <c r="B16" s="2" t="inlineStr">
        <is>
          <t>UNIT-006</t>
        </is>
      </c>
      <c r="C16" s="23" t="n">
        <v>0.05</v>
      </c>
      <c r="D16" s="12">
        <f>$D$5*C16</f>
        <v/>
      </c>
      <c r="E16" s="12">
        <f>$D$6*C16</f>
        <v/>
      </c>
      <c r="F16" s="12">
        <f>$D$7*C16</f>
        <v/>
      </c>
      <c r="G16" s="12">
        <f>D16+E16+F16</f>
        <v/>
      </c>
      <c r="H16" s="2" t="inlineStr"/>
    </row>
    <row r="17">
      <c r="A17" s="22" t="n">
        <v>7</v>
      </c>
      <c r="B17" s="2" t="inlineStr">
        <is>
          <t>UNIT-007</t>
        </is>
      </c>
      <c r="C17" s="23" t="n">
        <v>0.05</v>
      </c>
      <c r="D17" s="12">
        <f>$D$5*C17</f>
        <v/>
      </c>
      <c r="E17" s="12">
        <f>$D$6*C17</f>
        <v/>
      </c>
      <c r="F17" s="12">
        <f>$D$7*C17</f>
        <v/>
      </c>
      <c r="G17" s="12">
        <f>D17+E17+F17</f>
        <v/>
      </c>
      <c r="H17" s="2" t="inlineStr"/>
    </row>
    <row r="18">
      <c r="A18" s="22" t="n">
        <v>8</v>
      </c>
      <c r="B18" s="2" t="inlineStr">
        <is>
          <t>UNIT-008</t>
        </is>
      </c>
      <c r="C18" s="23" t="n">
        <v>0.05</v>
      </c>
      <c r="D18" s="12">
        <f>$D$5*C18</f>
        <v/>
      </c>
      <c r="E18" s="12">
        <f>$D$6*C18</f>
        <v/>
      </c>
      <c r="F18" s="12">
        <f>$D$7*C18</f>
        <v/>
      </c>
      <c r="G18" s="12">
        <f>D18+E18+F18</f>
        <v/>
      </c>
      <c r="H18" s="2" t="inlineStr"/>
    </row>
    <row r="19">
      <c r="A19" s="22" t="n">
        <v>9</v>
      </c>
      <c r="B19" s="2" t="inlineStr">
        <is>
          <t>UNIT-009</t>
        </is>
      </c>
      <c r="C19" s="23" t="n">
        <v>0.05</v>
      </c>
      <c r="D19" s="12">
        <f>$D$5*C19</f>
        <v/>
      </c>
      <c r="E19" s="12">
        <f>$D$6*C19</f>
        <v/>
      </c>
      <c r="F19" s="12">
        <f>$D$7*C19</f>
        <v/>
      </c>
      <c r="G19" s="12">
        <f>D19+E19+F19</f>
        <v/>
      </c>
      <c r="H19" s="2" t="inlineStr"/>
    </row>
    <row r="20">
      <c r="A20" s="22" t="n">
        <v>10</v>
      </c>
      <c r="B20" s="2" t="inlineStr">
        <is>
          <t>UNIT-010</t>
        </is>
      </c>
      <c r="C20" s="23" t="n">
        <v>0.05</v>
      </c>
      <c r="D20" s="12">
        <f>$D$5*C20</f>
        <v/>
      </c>
      <c r="E20" s="12">
        <f>$D$6*C20</f>
        <v/>
      </c>
      <c r="F20" s="12">
        <f>$D$7*C20</f>
        <v/>
      </c>
      <c r="G20" s="12">
        <f>D20+E20+F20</f>
        <v/>
      </c>
      <c r="H20" s="2" t="inlineStr"/>
    </row>
    <row r="21">
      <c r="A21" s="22" t="n">
        <v>11</v>
      </c>
      <c r="B21" s="2" t="inlineStr">
        <is>
          <t>UNIT-011</t>
        </is>
      </c>
      <c r="C21" s="23" t="n">
        <v>0.05</v>
      </c>
      <c r="D21" s="12">
        <f>$D$5*C21</f>
        <v/>
      </c>
      <c r="E21" s="12">
        <f>$D$6*C21</f>
        <v/>
      </c>
      <c r="F21" s="12">
        <f>$D$7*C21</f>
        <v/>
      </c>
      <c r="G21" s="12">
        <f>D21+E21+F21</f>
        <v/>
      </c>
      <c r="H21" s="2" t="inlineStr"/>
    </row>
    <row r="22">
      <c r="A22" s="22" t="n">
        <v>12</v>
      </c>
      <c r="B22" s="2" t="inlineStr">
        <is>
          <t>UNIT-012</t>
        </is>
      </c>
      <c r="C22" s="23" t="n">
        <v>0.05</v>
      </c>
      <c r="D22" s="12">
        <f>$D$5*C22</f>
        <v/>
      </c>
      <c r="E22" s="12">
        <f>$D$6*C22</f>
        <v/>
      </c>
      <c r="F22" s="12">
        <f>$D$7*C22</f>
        <v/>
      </c>
      <c r="G22" s="12">
        <f>D22+E22+F22</f>
        <v/>
      </c>
      <c r="H22" s="2" t="inlineStr"/>
    </row>
    <row r="23">
      <c r="A23" s="22" t="n">
        <v>13</v>
      </c>
      <c r="B23" s="2" t="inlineStr">
        <is>
          <t>UNIT-013</t>
        </is>
      </c>
      <c r="C23" s="23" t="n">
        <v>0.05</v>
      </c>
      <c r="D23" s="12">
        <f>$D$5*C23</f>
        <v/>
      </c>
      <c r="E23" s="12">
        <f>$D$6*C23</f>
        <v/>
      </c>
      <c r="F23" s="12">
        <f>$D$7*C23</f>
        <v/>
      </c>
      <c r="G23" s="12">
        <f>D23+E23+F23</f>
        <v/>
      </c>
      <c r="H23" s="2" t="inlineStr"/>
    </row>
    <row r="24">
      <c r="A24" s="22" t="n">
        <v>14</v>
      </c>
      <c r="B24" s="2" t="inlineStr">
        <is>
          <t>UNIT-014</t>
        </is>
      </c>
      <c r="C24" s="23" t="n">
        <v>0.05</v>
      </c>
      <c r="D24" s="12">
        <f>$D$5*C24</f>
        <v/>
      </c>
      <c r="E24" s="12">
        <f>$D$6*C24</f>
        <v/>
      </c>
      <c r="F24" s="12">
        <f>$D$7*C24</f>
        <v/>
      </c>
      <c r="G24" s="12">
        <f>D24+E24+F24</f>
        <v/>
      </c>
      <c r="H24" s="2" t="inlineStr"/>
    </row>
    <row r="25">
      <c r="A25" s="22" t="n">
        <v>15</v>
      </c>
      <c r="B25" s="2" t="inlineStr">
        <is>
          <t>UNIT-015</t>
        </is>
      </c>
      <c r="C25" s="23" t="n">
        <v>0.05</v>
      </c>
      <c r="D25" s="12">
        <f>$D$5*C25</f>
        <v/>
      </c>
      <c r="E25" s="12">
        <f>$D$6*C25</f>
        <v/>
      </c>
      <c r="F25" s="12">
        <f>$D$7*C25</f>
        <v/>
      </c>
      <c r="G25" s="12">
        <f>D25+E25+F25</f>
        <v/>
      </c>
      <c r="H25" s="2" t="inlineStr"/>
    </row>
    <row r="26">
      <c r="A26" s="22" t="n">
        <v>16</v>
      </c>
      <c r="B26" s="2" t="inlineStr">
        <is>
          <t>UNIT-016</t>
        </is>
      </c>
      <c r="C26" s="23" t="n">
        <v>0.05</v>
      </c>
      <c r="D26" s="12">
        <f>$D$5*C26</f>
        <v/>
      </c>
      <c r="E26" s="12">
        <f>$D$6*C26</f>
        <v/>
      </c>
      <c r="F26" s="12">
        <f>$D$7*C26</f>
        <v/>
      </c>
      <c r="G26" s="12">
        <f>D26+E26+F26</f>
        <v/>
      </c>
      <c r="H26" s="2" t="inlineStr"/>
    </row>
    <row r="27">
      <c r="A27" s="22" t="n">
        <v>17</v>
      </c>
      <c r="B27" s="2" t="inlineStr">
        <is>
          <t>UNIT-017</t>
        </is>
      </c>
      <c r="C27" s="23" t="n">
        <v>0.05</v>
      </c>
      <c r="D27" s="12">
        <f>$D$5*C27</f>
        <v/>
      </c>
      <c r="E27" s="12">
        <f>$D$6*C27</f>
        <v/>
      </c>
      <c r="F27" s="12">
        <f>$D$7*C27</f>
        <v/>
      </c>
      <c r="G27" s="12">
        <f>D27+E27+F27</f>
        <v/>
      </c>
      <c r="H27" s="2" t="inlineStr"/>
    </row>
    <row r="28">
      <c r="A28" s="22" t="n">
        <v>18</v>
      </c>
      <c r="B28" s="2" t="inlineStr">
        <is>
          <t>UNIT-018</t>
        </is>
      </c>
      <c r="C28" s="23" t="n">
        <v>0.05</v>
      </c>
      <c r="D28" s="12">
        <f>$D$5*C28</f>
        <v/>
      </c>
      <c r="E28" s="12">
        <f>$D$6*C28</f>
        <v/>
      </c>
      <c r="F28" s="12">
        <f>$D$7*C28</f>
        <v/>
      </c>
      <c r="G28" s="12">
        <f>D28+E28+F28</f>
        <v/>
      </c>
      <c r="H28" s="2" t="inlineStr"/>
    </row>
    <row r="29">
      <c r="A29" s="22" t="n">
        <v>19</v>
      </c>
      <c r="B29" s="2" t="inlineStr">
        <is>
          <t>UNIT-019</t>
        </is>
      </c>
      <c r="C29" s="23" t="n">
        <v>0.05</v>
      </c>
      <c r="D29" s="12">
        <f>$D$5*C29</f>
        <v/>
      </c>
      <c r="E29" s="12">
        <f>$D$6*C29</f>
        <v/>
      </c>
      <c r="F29" s="12">
        <f>$D$7*C29</f>
        <v/>
      </c>
      <c r="G29" s="12">
        <f>D29+E29+F29</f>
        <v/>
      </c>
      <c r="H29" s="2" t="inlineStr"/>
    </row>
    <row r="30">
      <c r="A30" s="22" t="n">
        <v>20</v>
      </c>
      <c r="B30" s="2" t="inlineStr">
        <is>
          <t>UNIT-020</t>
        </is>
      </c>
      <c r="C30" s="23" t="n">
        <v>0.05</v>
      </c>
      <c r="D30" s="12">
        <f>$D$5*C30</f>
        <v/>
      </c>
      <c r="E30" s="12">
        <f>$D$6*C30</f>
        <v/>
      </c>
      <c r="F30" s="12">
        <f>$D$7*C30</f>
        <v/>
      </c>
      <c r="G30" s="12">
        <f>D30+E30+F30</f>
        <v/>
      </c>
      <c r="H30" s="2" t="inlineStr"/>
    </row>
    <row r="31">
      <c r="A31" s="22" t="inlineStr"/>
      <c r="B31" s="13" t="inlineStr">
        <is>
          <t>TOTAL</t>
        </is>
      </c>
      <c r="C31" s="24">
        <f>SUM(C11:C30)</f>
        <v/>
      </c>
      <c r="D31" s="14">
        <f>SUM(D11:D30)</f>
        <v/>
      </c>
      <c r="E31" s="14">
        <f>SUM(E11:E30)</f>
        <v/>
      </c>
      <c r="F31" s="14">
        <f>SUM(F11:F30)</f>
        <v/>
      </c>
      <c r="G31" s="14">
        <f>SUM(G11:G30)</f>
        <v/>
      </c>
    </row>
    <row r="33">
      <c r="A33" t="inlineStr">
        <is>
          <t>PQ Check (must equal 1.000000)</t>
        </is>
      </c>
      <c r="C33" s="25">
        <f>C31</f>
        <v/>
      </c>
      <c r="D33" s="26">
        <f>IF(ABS(C33-1)&lt;0.00001,"OK - PQ totals 1","CHECK - PQ does not total 1")</f>
        <v/>
      </c>
    </row>
    <row r="35">
      <c r="A35" s="6" t="inlineStr">
        <is>
          <t>NOTES: Replace the example units with the actual units and PQs for this complex. Insert or delete rows in the unit table and copy formulas. For Ratio method complexes, replace PQ column with the ratio share and adjust formulas accordingly. CSOS is currently allocated proportionally; if your complex uses the statutory per-unit CSOS formula, adjust column F.</t>
        </is>
      </c>
    </row>
    <row r="36"/>
  </sheetData>
  <mergeCells count="2">
    <mergeCell ref="A35:H3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cols>
    <col width="35" customWidth="1" min="1" max="1"/>
    <col width="10" customWidth="1" min="2" max="2"/>
    <col width="12" customWidth="1" min="3" max="3"/>
    <col width="14"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10 YEAR MAINTENANCE PLAN</t>
        </is>
      </c>
    </row>
    <row r="2">
      <c r="A2" t="inlineStr">
        <is>
          <t>Complex:</t>
        </is>
      </c>
      <c r="B2" s="27">
        <f>BUDGET!C3</f>
        <v/>
      </c>
    </row>
    <row r="4">
      <c r="A4" s="17" t="inlineStr">
        <is>
          <t>PROJECTS</t>
        </is>
      </c>
    </row>
    <row r="5">
      <c r="A5" s="28" t="inlineStr">
        <is>
          <t>Description</t>
        </is>
      </c>
      <c r="B5" s="28" t="inlineStr">
        <is>
          <t>First Cycle</t>
        </is>
      </c>
      <c r="C5" s="28" t="inlineStr">
        <is>
          <t>Frequency (yrs)</t>
        </is>
      </c>
      <c r="D5" s="28" t="inlineStr">
        <is>
          <t>Current Estimate</t>
        </is>
      </c>
      <c r="E5" s="29" t="n">
        <v>2026</v>
      </c>
      <c r="F5" s="29" t="n">
        <v>2027</v>
      </c>
      <c r="G5" s="29" t="n">
        <v>2028</v>
      </c>
      <c r="H5" s="29" t="n">
        <v>2029</v>
      </c>
      <c r="I5" s="29" t="n">
        <v>2030</v>
      </c>
      <c r="J5" s="29" t="n">
        <v>2031</v>
      </c>
      <c r="K5" s="29" t="n">
        <v>2032</v>
      </c>
      <c r="L5" s="29" t="n">
        <v>2033</v>
      </c>
      <c r="M5" s="29" t="n">
        <v>2034</v>
      </c>
      <c r="N5" s="29" t="n">
        <v>2035</v>
      </c>
    </row>
    <row r="6">
      <c r="E6" s="30" t="inlineStr">
        <is>
          <t>Year 1</t>
        </is>
      </c>
      <c r="F6" s="30" t="inlineStr">
        <is>
          <t>Year 2</t>
        </is>
      </c>
      <c r="G6" s="30" t="inlineStr">
        <is>
          <t>Year 3</t>
        </is>
      </c>
      <c r="H6" s="30" t="inlineStr">
        <is>
          <t>Year 4</t>
        </is>
      </c>
      <c r="I6" s="30" t="inlineStr">
        <is>
          <t>Year 5</t>
        </is>
      </c>
      <c r="J6" s="30" t="inlineStr">
        <is>
          <t>Year 6</t>
        </is>
      </c>
      <c r="K6" s="30" t="inlineStr">
        <is>
          <t>Year 7</t>
        </is>
      </c>
      <c r="L6" s="30" t="inlineStr">
        <is>
          <t>Year 8</t>
        </is>
      </c>
      <c r="M6" s="30" t="inlineStr">
        <is>
          <t>Year 9</t>
        </is>
      </c>
      <c r="N6" s="30" t="inlineStr">
        <is>
          <t>Year 10</t>
        </is>
      </c>
    </row>
    <row r="7">
      <c r="A7" s="2" t="inlineStr">
        <is>
          <t>Painting of Buildings</t>
        </is>
      </c>
      <c r="B7" s="31" t="n">
        <v>1</v>
      </c>
      <c r="C7" s="31" t="n">
        <v>5</v>
      </c>
      <c r="D7" s="31" t="n">
        <v>100000</v>
      </c>
      <c r="E7" s="31" t="n">
        <v>0</v>
      </c>
      <c r="F7" s="31" t="n">
        <v>0</v>
      </c>
      <c r="G7" s="31" t="n">
        <v>0</v>
      </c>
      <c r="H7" s="31" t="n">
        <v>0</v>
      </c>
      <c r="I7" s="31" t="n">
        <v>0</v>
      </c>
      <c r="J7" s="31" t="n">
        <v>0</v>
      </c>
      <c r="K7" s="31" t="n">
        <v>0</v>
      </c>
      <c r="L7" s="31" t="n">
        <v>0</v>
      </c>
      <c r="M7" s="31" t="n">
        <v>0</v>
      </c>
      <c r="N7" s="31" t="n">
        <v>0</v>
      </c>
    </row>
    <row r="8">
      <c r="A8" s="2" t="inlineStr">
        <is>
          <t>Roof Maintenance / Inspections</t>
        </is>
      </c>
      <c r="B8" s="31" t="n">
        <v>1</v>
      </c>
      <c r="C8" s="31" t="n">
        <v>3</v>
      </c>
      <c r="D8" s="31" t="n">
        <v>25000</v>
      </c>
      <c r="E8" s="31" t="n">
        <v>0</v>
      </c>
      <c r="F8" s="31" t="n">
        <v>0</v>
      </c>
      <c r="G8" s="31" t="n">
        <v>0</v>
      </c>
      <c r="H8" s="31" t="n">
        <v>0</v>
      </c>
      <c r="I8" s="31" t="n">
        <v>0</v>
      </c>
      <c r="J8" s="31" t="n">
        <v>0</v>
      </c>
      <c r="K8" s="31" t="n">
        <v>0</v>
      </c>
      <c r="L8" s="31" t="n">
        <v>0</v>
      </c>
      <c r="M8" s="31" t="n">
        <v>0</v>
      </c>
      <c r="N8" s="31" t="n">
        <v>0</v>
      </c>
    </row>
    <row r="9">
      <c r="A9" s="2" t="inlineStr">
        <is>
          <t>Gate Motor Replace &amp; Repair</t>
        </is>
      </c>
      <c r="B9" s="31" t="n">
        <v>2</v>
      </c>
      <c r="C9" s="31" t="n">
        <v>5</v>
      </c>
      <c r="D9" s="31" t="n">
        <v>15000</v>
      </c>
      <c r="E9" s="31" t="n">
        <v>0</v>
      </c>
      <c r="F9" s="31" t="n">
        <v>0</v>
      </c>
      <c r="G9" s="31" t="n">
        <v>0</v>
      </c>
      <c r="H9" s="31" t="n">
        <v>0</v>
      </c>
      <c r="I9" s="31" t="n">
        <v>0</v>
      </c>
      <c r="J9" s="31" t="n">
        <v>0</v>
      </c>
      <c r="K9" s="31" t="n">
        <v>0</v>
      </c>
      <c r="L9" s="31" t="n">
        <v>0</v>
      </c>
      <c r="M9" s="31" t="n">
        <v>0</v>
      </c>
      <c r="N9" s="31" t="n">
        <v>0</v>
      </c>
    </row>
    <row r="10">
      <c r="A10" s="2" t="inlineStr">
        <is>
          <t>Boundary Wall Project</t>
        </is>
      </c>
      <c r="B10" s="31" t="n">
        <v>3</v>
      </c>
      <c r="C10" s="31" t="n">
        <v>10</v>
      </c>
      <c r="D10" s="31" t="n">
        <v>80000</v>
      </c>
      <c r="E10" s="31" t="n">
        <v>0</v>
      </c>
      <c r="F10" s="31" t="n">
        <v>0</v>
      </c>
      <c r="G10" s="31" t="n">
        <v>0</v>
      </c>
      <c r="H10" s="31" t="n">
        <v>0</v>
      </c>
      <c r="I10" s="31" t="n">
        <v>0</v>
      </c>
      <c r="J10" s="31" t="n">
        <v>0</v>
      </c>
      <c r="K10" s="31" t="n">
        <v>0</v>
      </c>
      <c r="L10" s="31" t="n">
        <v>0</v>
      </c>
      <c r="M10" s="31" t="n">
        <v>0</v>
      </c>
      <c r="N10" s="31" t="n">
        <v>0</v>
      </c>
    </row>
    <row r="11">
      <c r="A11" s="2" t="inlineStr">
        <is>
          <t>Swimming Pool Pump &amp; Maintenance</t>
        </is>
      </c>
      <c r="B11" s="31" t="n">
        <v>1</v>
      </c>
      <c r="C11" s="31" t="n">
        <v>4</v>
      </c>
      <c r="D11" s="31" t="n">
        <v>12000</v>
      </c>
      <c r="E11" s="31" t="n">
        <v>0</v>
      </c>
      <c r="F11" s="31" t="n">
        <v>0</v>
      </c>
      <c r="G11" s="31" t="n">
        <v>0</v>
      </c>
      <c r="H11" s="31" t="n">
        <v>0</v>
      </c>
      <c r="I11" s="31" t="n">
        <v>0</v>
      </c>
      <c r="J11" s="31" t="n">
        <v>0</v>
      </c>
      <c r="K11" s="31" t="n">
        <v>0</v>
      </c>
      <c r="L11" s="31" t="n">
        <v>0</v>
      </c>
      <c r="M11" s="31" t="n">
        <v>0</v>
      </c>
      <c r="N11" s="31" t="n">
        <v>0</v>
      </c>
    </row>
    <row r="12">
      <c r="A12" s="2" t="inlineStr">
        <is>
          <t>Valuation of Complex</t>
        </is>
      </c>
      <c r="B12" s="31" t="n">
        <v>1</v>
      </c>
      <c r="C12" s="31" t="n">
        <v>3</v>
      </c>
      <c r="D12" s="31" t="n">
        <v>7000</v>
      </c>
      <c r="E12" s="31" t="n">
        <v>0</v>
      </c>
      <c r="F12" s="31" t="n">
        <v>0</v>
      </c>
      <c r="G12" s="31" t="n">
        <v>0</v>
      </c>
      <c r="H12" s="31" t="n">
        <v>0</v>
      </c>
      <c r="I12" s="31" t="n">
        <v>0</v>
      </c>
      <c r="J12" s="31" t="n">
        <v>0</v>
      </c>
      <c r="K12" s="31" t="n">
        <v>0</v>
      </c>
      <c r="L12" s="31" t="n">
        <v>0</v>
      </c>
      <c r="M12" s="31" t="n">
        <v>0</v>
      </c>
      <c r="N12" s="31" t="n">
        <v>0</v>
      </c>
    </row>
    <row r="13">
      <c r="A13" s="2" t="inlineStr">
        <is>
          <t>Staircases / Common Areas</t>
        </is>
      </c>
      <c r="B13" s="31" t="n">
        <v>1</v>
      </c>
      <c r="C13" s="31" t="n">
        <v>5</v>
      </c>
      <c r="D13" s="31" t="n">
        <v>40000</v>
      </c>
      <c r="E13" s="31" t="n">
        <v>0</v>
      </c>
      <c r="F13" s="31" t="n">
        <v>0</v>
      </c>
      <c r="G13" s="31" t="n">
        <v>0</v>
      </c>
      <c r="H13" s="31" t="n">
        <v>0</v>
      </c>
      <c r="I13" s="31" t="n">
        <v>0</v>
      </c>
      <c r="J13" s="31" t="n">
        <v>0</v>
      </c>
      <c r="K13" s="31" t="n">
        <v>0</v>
      </c>
      <c r="L13" s="31" t="n">
        <v>0</v>
      </c>
      <c r="M13" s="31" t="n">
        <v>0</v>
      </c>
      <c r="N13" s="31" t="n">
        <v>0</v>
      </c>
    </row>
    <row r="14">
      <c r="A14" s="2" t="inlineStr">
        <is>
          <t>Window Frames / Glazing</t>
        </is>
      </c>
      <c r="B14" s="31" t="n">
        <v>2</v>
      </c>
      <c r="C14" s="31" t="n">
        <v>7</v>
      </c>
      <c r="D14" s="31" t="n">
        <v>35000</v>
      </c>
      <c r="E14" s="31" t="n">
        <v>0</v>
      </c>
      <c r="F14" s="31" t="n">
        <v>0</v>
      </c>
      <c r="G14" s="31" t="n">
        <v>0</v>
      </c>
      <c r="H14" s="31" t="n">
        <v>0</v>
      </c>
      <c r="I14" s="31" t="n">
        <v>0</v>
      </c>
      <c r="J14" s="31" t="n">
        <v>0</v>
      </c>
      <c r="K14" s="31" t="n">
        <v>0</v>
      </c>
      <c r="L14" s="31" t="n">
        <v>0</v>
      </c>
      <c r="M14" s="31" t="n">
        <v>0</v>
      </c>
      <c r="N14" s="31" t="n">
        <v>0</v>
      </c>
    </row>
    <row r="15">
      <c r="A15" s="2" t="inlineStr">
        <is>
          <t>Paving / Driveways</t>
        </is>
      </c>
      <c r="B15" s="31" t="n">
        <v>3</v>
      </c>
      <c r="C15" s="31" t="n">
        <v>8</v>
      </c>
      <c r="D15" s="31" t="n">
        <v>50000</v>
      </c>
      <c r="E15" s="31" t="n">
        <v>0</v>
      </c>
      <c r="F15" s="31" t="n">
        <v>0</v>
      </c>
      <c r="G15" s="31" t="n">
        <v>0</v>
      </c>
      <c r="H15" s="31" t="n">
        <v>0</v>
      </c>
      <c r="I15" s="31" t="n">
        <v>0</v>
      </c>
      <c r="J15" s="31" t="n">
        <v>0</v>
      </c>
      <c r="K15" s="31" t="n">
        <v>0</v>
      </c>
      <c r="L15" s="31" t="n">
        <v>0</v>
      </c>
      <c r="M15" s="31" t="n">
        <v>0</v>
      </c>
      <c r="N15" s="31" t="n">
        <v>0</v>
      </c>
    </row>
    <row r="16">
      <c r="A16" s="2" t="inlineStr">
        <is>
          <t>Other Capital Project 1</t>
        </is>
      </c>
      <c r="B16" s="31" t="n">
        <v>1</v>
      </c>
      <c r="C16" s="31" t="n">
        <v>1</v>
      </c>
      <c r="D16" s="31" t="n">
        <v>0</v>
      </c>
      <c r="E16" s="31" t="n">
        <v>0</v>
      </c>
      <c r="F16" s="31" t="n">
        <v>0</v>
      </c>
      <c r="G16" s="31" t="n">
        <v>0</v>
      </c>
      <c r="H16" s="31" t="n">
        <v>0</v>
      </c>
      <c r="I16" s="31" t="n">
        <v>0</v>
      </c>
      <c r="J16" s="31" t="n">
        <v>0</v>
      </c>
      <c r="K16" s="31" t="n">
        <v>0</v>
      </c>
      <c r="L16" s="31" t="n">
        <v>0</v>
      </c>
      <c r="M16" s="31" t="n">
        <v>0</v>
      </c>
      <c r="N16" s="31" t="n">
        <v>0</v>
      </c>
    </row>
    <row r="17">
      <c r="A17" s="13" t="inlineStr">
        <is>
          <t>TOTAL PER YEAR</t>
        </is>
      </c>
      <c r="D17" s="14">
        <f>SUM(D7:D16)</f>
        <v/>
      </c>
      <c r="E17" s="14">
        <f>SUM(E7:E16)</f>
        <v/>
      </c>
      <c r="F17" s="14">
        <f>SUM(F7:F16)</f>
        <v/>
      </c>
      <c r="G17" s="14">
        <f>SUM(G7:G16)</f>
        <v/>
      </c>
      <c r="H17" s="14">
        <f>SUM(H7:H16)</f>
        <v/>
      </c>
      <c r="I17" s="14">
        <f>SUM(I7:I16)</f>
        <v/>
      </c>
      <c r="J17" s="14">
        <f>SUM(J7:J16)</f>
        <v/>
      </c>
      <c r="K17" s="14">
        <f>SUM(K7:K16)</f>
        <v/>
      </c>
      <c r="L17" s="14">
        <f>SUM(L7:L16)</f>
        <v/>
      </c>
      <c r="M17" s="14">
        <f>SUM(M7:M16)</f>
        <v/>
      </c>
      <c r="N17" s="14">
        <f>SUM(N7:N16)</f>
        <v/>
      </c>
    </row>
    <row r="19">
      <c r="A19" s="6" t="inlineStr">
        <is>
          <t>INSTRUCTIONS: Enter or update projects and amounts for each year. Year 1 total (cell E17) should be transferred to the Special Projects section on the BUDGET sheet. Yellow cells are inputs. Add more project rows as needed (copy formatting).</t>
        </is>
      </c>
    </row>
    <row r="20"/>
    <row r="21">
      <c r="A21" s="32" t="inlineStr">
        <is>
          <t>TIP: The Year 1 total (cell E17) can be referenced on the BUDGET sheet Special Projects section.</t>
        </is>
      </c>
    </row>
  </sheetData>
  <mergeCells count="2">
    <mergeCell ref="A19:N20"/>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2026-08-30T13:27:13Z</dcterms:created>
  <dcterms:modified xmlns:dcterms="http://purl.org/dc/terms/" xmlns:xsi="http://www.w3.org/2001/XMLSchema-instance" xsi:type="dcterms:W3CDTF">2026-08-30T13:28:19Z</dcterms:modified>
</cp:coreProperties>
</file>